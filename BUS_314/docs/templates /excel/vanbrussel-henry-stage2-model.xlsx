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henryvanbrussel/Downloads/"/>
    </mc:Choice>
  </mc:AlternateContent>
  <xr:revisionPtr revIDLastSave="0" documentId="13_ncr:1_{BF698CA3-67FB-FB4B-9509-A7C03C84F5CA}" xr6:coauthVersionLast="47" xr6:coauthVersionMax="47" xr10:uidLastSave="{00000000-0000-0000-0000-000000000000}"/>
  <bookViews>
    <workbookView xWindow="0" yWindow="600" windowWidth="28800" windowHeight="16300" tabRatio="500" activeTab="4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INC_cost_goods_sold">'Income Statement'!$C$5</definedName>
    <definedName name="INC_depreciation">'Income Statement'!$C$7</definedName>
    <definedName name="INC_ebit">'Income Statement'!$C$8</definedName>
    <definedName name="INC_interest_expense">'Income Statement'!$C$11</definedName>
    <definedName name="INC_net">'Income Statement'!$C$15</definedName>
    <definedName name="INC_sales">'Income Statement'!$C$4</definedName>
    <definedName name="market_capitalization">Ratios!$C$9</definedName>
    <definedName name="RATIO_asset_turnover">Ratios!$C$54</definedName>
    <definedName name="RATIO_debt_burden">Ratios!$C$68</definedName>
    <definedName name="RATIO_leverage">Ratios!$C$69</definedName>
    <definedName name="RATIO_operating_profit_margin">Ratios!$C$60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4" l="1"/>
  <c r="C25" i="4"/>
  <c r="C22" i="4"/>
  <c r="C20" i="4"/>
  <c r="C14" i="4"/>
  <c r="C55" i="4" s="1"/>
  <c r="C13" i="4"/>
  <c r="C58" i="4" s="1"/>
  <c r="C9" i="4"/>
  <c r="C28" i="3"/>
  <c r="C20" i="3"/>
  <c r="C13" i="3"/>
  <c r="C14" i="3" s="1"/>
  <c r="C30" i="3" s="1"/>
  <c r="C12" i="3"/>
  <c r="C11" i="3"/>
  <c r="C10" i="3"/>
  <c r="C9" i="3"/>
  <c r="C8" i="3"/>
  <c r="D18" i="2"/>
  <c r="D16" i="2"/>
  <c r="D14" i="2"/>
  <c r="D13" i="2"/>
  <c r="C12" i="2"/>
  <c r="C15" i="2" s="1"/>
  <c r="D11" i="2"/>
  <c r="D10" i="2"/>
  <c r="D9" i="2"/>
  <c r="C8" i="2"/>
  <c r="D8" i="2" s="1"/>
  <c r="D7" i="2"/>
  <c r="D6" i="2"/>
  <c r="D5" i="2"/>
  <c r="D4" i="2"/>
  <c r="H26" i="1"/>
  <c r="C16" i="4" s="1"/>
  <c r="C35" i="4" s="1"/>
  <c r="G26" i="1"/>
  <c r="C29" i="4" s="1"/>
  <c r="D22" i="1"/>
  <c r="C22" i="1"/>
  <c r="D14" i="1"/>
  <c r="C14" i="1"/>
  <c r="H13" i="1"/>
  <c r="H18" i="1" s="1"/>
  <c r="H28" i="1" s="1"/>
  <c r="G13" i="1"/>
  <c r="G18" i="1" s="1"/>
  <c r="D10" i="1"/>
  <c r="D27" i="1" s="1"/>
  <c r="C15" i="4" s="1"/>
  <c r="C10" i="1"/>
  <c r="C27" i="1" s="1"/>
  <c r="D15" i="2" l="1"/>
  <c r="C19" i="4"/>
  <c r="C59" i="4"/>
  <c r="C68" i="4"/>
  <c r="C86" i="4" s="1"/>
  <c r="C48" i="4"/>
  <c r="C17" i="2"/>
  <c r="C42" i="4"/>
  <c r="C28" i="4"/>
  <c r="C54" i="4"/>
  <c r="C34" i="4"/>
  <c r="G28" i="1"/>
  <c r="C28" i="1" s="1"/>
  <c r="C30" i="4"/>
  <c r="C65" i="4" s="1"/>
  <c r="C64" i="4"/>
  <c r="C12" i="4"/>
  <c r="C56" i="4"/>
  <c r="C66" i="4"/>
  <c r="C23" i="4"/>
  <c r="C57" i="4"/>
  <c r="C67" i="4"/>
  <c r="C24" i="4"/>
  <c r="C74" i="4" s="1"/>
  <c r="D12" i="2"/>
  <c r="C27" i="4"/>
  <c r="C72" i="4" s="1"/>
  <c r="C21" i="4"/>
  <c r="C36" i="4" s="1"/>
  <c r="C73" i="4" l="1"/>
  <c r="C84" i="4"/>
  <c r="C79" i="4"/>
  <c r="C43" i="4"/>
  <c r="C60" i="4"/>
  <c r="C50" i="4"/>
  <c r="C49" i="4"/>
  <c r="C47" i="4"/>
  <c r="C46" i="4"/>
  <c r="C75" i="4"/>
  <c r="C41" i="4"/>
  <c r="C19" i="2"/>
  <c r="D19" i="2" s="1"/>
  <c r="D17" i="2"/>
  <c r="C63" i="4"/>
  <c r="C33" i="4"/>
  <c r="C51" i="4" s="1"/>
  <c r="C69" i="4"/>
  <c r="C85" i="4" l="1"/>
  <c r="C80" i="4"/>
  <c r="C78" i="4"/>
  <c r="C83" i="4"/>
  <c r="C8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5" authorId="0" shapeId="0" xr:uid="{00000000-0006-0000-0000-000001000000}">
      <text>
        <r>
          <rPr>
            <sz val="10"/>
            <rFont val="Arial"/>
            <family val="2"/>
          </rPr>
          <t>Adam Stauffer:
Source: Caterpillar 10-K FY2024, SEC EDGAR earnings release, https://www.sec.gov/Archives/edgar/data/18230/000001823025000004/cat_exx991x4qx2024xearning.htm</t>
        </r>
      </text>
    </comment>
    <comment ref="D5" authorId="0" shapeId="0" xr:uid="{00000000-0006-0000-0000-00000C000000}">
      <text>
        <r>
          <rPr>
            <sz val="10"/>
            <rFont val="Arial"/>
            <family val="2"/>
          </rPr>
          <t>Adam Stauffer:
Source: Caterpillar 10-K FY2023, SEC EDGAR, https://www.sec.gov/Archives/edgar/data/18230/000001823025000004/cat_exx991x4qx2024xearning.htm</t>
        </r>
      </text>
    </comment>
    <comment ref="G5" authorId="0" shapeId="0" xr:uid="{00000000-0006-0000-0000-000017000000}">
      <text>
        <r>
          <rPr>
            <sz val="10"/>
            <rFont val="Arial"/>
            <family val="2"/>
          </rPr>
          <t>Adam Stauffer:
Source: Caterpillar 10-K FY2024, SEC EDGAR, https://www.sec.gov/Archives/edgar/data/18230/000001823025000008/cat-20241231.htm</t>
        </r>
      </text>
    </comment>
    <comment ref="H5" authorId="0" shapeId="0" xr:uid="{00000000-0006-0000-0000-000027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6" authorId="0" shapeId="0" xr:uid="{00000000-0006-0000-0000-000002000000}">
      <text>
        <r>
          <rPr>
            <sz val="10"/>
            <rFont val="Arial"/>
            <family val="2"/>
          </rPr>
          <t>Adam Stauffer:
Source: Caterpillar 10-K FY2024, SEC EDGAR earnings release, https://www.sec.gov/Archives/edgar/data/18230/000001823025000004/cat_exx991x4qx2024xearning.htm</t>
        </r>
      </text>
    </comment>
    <comment ref="D6" authorId="0" shapeId="0" xr:uid="{00000000-0006-0000-0000-00000D000000}">
      <text>
        <r>
          <rPr>
            <sz val="10"/>
            <rFont val="Arial"/>
            <family val="2"/>
          </rPr>
          <t>Adam Stauffer:
Source: Caterpillar 10-K FY2023, SEC EDGAR, https://www.sec.gov/Archives/edgar/data/18230/000001823025000004/cat_exx991x4qx2024xearning.htm</t>
        </r>
      </text>
    </comment>
    <comment ref="G6" authorId="0" shapeId="0" xr:uid="{00000000-0006-0000-0000-000018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6" authorId="0" shapeId="0" xr:uid="{00000000-0006-0000-0000-000028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7" authorId="0" shapeId="0" xr:uid="{00000000-0006-0000-0000-000003000000}">
      <text>
        <r>
          <rPr>
            <sz val="10"/>
            <rFont val="Arial"/>
            <family val="2"/>
          </rPr>
          <t>Adam Stauffer:
Source: Caterpillar 10-K FY2024, SEC EDGAR earnings release, https://www.sec.gov/Archives/edgar/data/18230/000001823025000004/cat_exx991x4qx2024xearning.htm</t>
        </r>
      </text>
    </comment>
    <comment ref="D7" authorId="0" shapeId="0" xr:uid="{00000000-0006-0000-0000-00000E000000}">
      <text>
        <r>
          <rPr>
            <sz val="10"/>
            <rFont val="Arial"/>
            <family val="2"/>
          </rPr>
          <t>Adam Stauffer:
Source: Caterpillar 10-K FY2023, SEC EDGAR, https://www.sec.gov/Archives/edgar/data/18230/000001823025000004/cat_exx991x4qx2024xearning.htm</t>
        </r>
      </text>
    </comment>
    <comment ref="G7" authorId="0" shapeId="0" xr:uid="{00000000-0006-0000-0000-000019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7" authorId="0" shapeId="0" xr:uid="{00000000-0006-0000-0000-000029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8" authorId="0" shapeId="0" xr:uid="{00000000-0006-0000-0000-000004000000}">
      <text>
        <r>
          <rPr>
            <sz val="10"/>
            <rFont val="Arial"/>
            <family val="2"/>
          </rPr>
          <t>Adam Stauffer:
Source: Caterpillar 10-K FY2024, SEC EDGAR earnings release, https://www.sec.gov/Archives/edgar/data/18230/000001823025000004/cat_exx991x4qx2024xearning.htm</t>
        </r>
      </text>
    </comment>
    <comment ref="D8" authorId="0" shapeId="0" xr:uid="{00000000-0006-0000-0000-00000F000000}">
      <text>
        <r>
          <rPr>
            <sz val="10"/>
            <rFont val="Arial"/>
            <family val="2"/>
          </rPr>
          <t>Adam Stauffer:
Source: Caterpillar 10-K FY2023, SEC EDGAR, https://www.sec.gov/Archives/edgar/data/18230/000001823025000004/cat_exx991x4qx2024xearning.htm</t>
        </r>
      </text>
    </comment>
    <comment ref="G8" authorId="0" shapeId="0" xr:uid="{00000000-0006-0000-0000-00001A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8" authorId="0" shapeId="0" xr:uid="{00000000-0006-0000-0000-00002A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9" authorId="0" shapeId="0" xr:uid="{00000000-0006-0000-0000-000005000000}">
      <text>
        <r>
          <rPr>
            <sz val="10"/>
            <rFont val="Arial"/>
            <family val="2"/>
          </rPr>
          <t>Adam Stauffer:
Source: Caterpillar 10-K FY2024, prepaid expenses and other current assets, SEC EDGAR, https://www.sec.gov/Archives/edgar/data/18230/000001823025000004/cat_exx991x4qx2024xearning.htm</t>
        </r>
      </text>
    </comment>
    <comment ref="D9" authorId="0" shapeId="0" xr:uid="{00000000-0006-0000-0000-000010000000}">
      <text>
        <r>
          <rPr>
            <sz val="10"/>
            <rFont val="Arial"/>
            <family val="2"/>
          </rPr>
          <t>Adam Stauffer:
Source: Caterpillar 10-K FY2023, prepaid expenses and other current assets, SEC EDGAR</t>
        </r>
      </text>
    </comment>
    <comment ref="G9" authorId="0" shapeId="0" xr:uid="{00000000-0006-0000-0000-00001B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9" authorId="0" shapeId="0" xr:uid="{00000000-0006-0000-0000-00002B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G10" authorId="0" shapeId="0" xr:uid="{00000000-0006-0000-0000-00001C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10" authorId="0" shapeId="0" xr:uid="{00000000-0006-0000-0000-00002C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G11" authorId="0" shapeId="0" xr:uid="{00000000-0006-0000-0000-00001D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11" authorId="0" shapeId="0" xr:uid="{00000000-0006-0000-0000-00002D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12" authorId="0" shapeId="0" xr:uid="{00000000-0006-0000-0000-000006000000}">
      <text>
        <r>
          <rPr>
            <sz val="10"/>
            <rFont val="Arial"/>
            <family val="2"/>
          </rPr>
          <t>Adam Stauffer:
Source: Caterpillar 10-K FY2024 (gross PP&amp;E), SEC EDGAR 10-K filing, https://www.sec.gov/Archives/edgar/data/18230/000001823025000008/cat-20241231.htm</t>
        </r>
      </text>
    </comment>
    <comment ref="D12" authorId="0" shapeId="0" xr:uid="{00000000-0006-0000-0000-000011000000}">
      <text>
        <r>
          <rPr>
            <sz val="10"/>
            <rFont val="Arial"/>
            <family val="2"/>
          </rPr>
          <t>Adam Stauffer:
Source: Caterpillar 10-K FY2023 (gross PP&amp;E), SEC EDGAR</t>
        </r>
      </text>
    </comment>
    <comment ref="G12" authorId="0" shapeId="0" xr:uid="{00000000-0006-0000-0000-00001E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12" authorId="0" shapeId="0" xr:uid="{00000000-0006-0000-0000-00002E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13" authorId="0" shapeId="0" xr:uid="{00000000-0006-0000-0000-000007000000}">
      <text>
        <r>
          <rPr>
            <sz val="10"/>
            <rFont val="Arial"/>
            <family val="2"/>
          </rPr>
          <t>Adam Stauffer:
Source: Caterpillar 10-K FY2024 (accumulated depreciation), SEC EDGAR 10-K filing</t>
        </r>
      </text>
    </comment>
    <comment ref="D13" authorId="0" shapeId="0" xr:uid="{00000000-0006-0000-0000-000012000000}">
      <text>
        <r>
          <rPr>
            <sz val="10"/>
            <rFont val="Arial"/>
            <family val="2"/>
          </rPr>
          <t>Adam Stauffer:
Source: Caterpillar 10-K FY2023 (accumulated depreciation), SEC EDGAR</t>
        </r>
      </text>
    </comment>
    <comment ref="G15" authorId="0" shapeId="0" xr:uid="{00000000-0006-0000-0000-00001F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15" authorId="0" shapeId="0" xr:uid="{00000000-0006-0000-0000-00002F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16" authorId="0" shapeId="0" xr:uid="{00000000-0006-0000-0000-000008000000}">
      <text>
        <r>
          <rPr>
            <sz val="10"/>
            <rFont val="Arial"/>
            <family val="2"/>
          </rPr>
          <t>Adam Stauffer:
Source: Caterpillar 10-K FY2024: LT trade recv $1,225M + LT finance recv $13,242M, SEC EDGAR, https://www.sec.gov/Archives/edgar/data/18230/000001823025000004/cat_exx991x4qx2024xearning.htm</t>
        </r>
      </text>
    </comment>
    <comment ref="D16" authorId="0" shapeId="0" xr:uid="{00000000-0006-0000-0000-000013000000}">
      <text>
        <r>
          <rPr>
            <sz val="10"/>
            <rFont val="Arial"/>
            <family val="2"/>
          </rPr>
          <t>Adam Stauffer:
Source: Caterpillar 10-K FY2023: LT trade recv $1,238M + LT finance recv $12,664M, SEC EDGAR</t>
        </r>
      </text>
    </comment>
    <comment ref="G16" authorId="0" shapeId="0" xr:uid="{00000000-0006-0000-0000-000020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16" authorId="0" shapeId="0" xr:uid="{00000000-0006-0000-0000-000030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17" authorId="0" shapeId="0" xr:uid="{00000000-0006-0000-0000-000009000000}">
      <text>
        <r>
          <rPr>
            <sz val="10"/>
            <rFont val="Arial"/>
            <family val="2"/>
          </rPr>
          <t>Adam Stauffer:
Source: Caterpillar 10-K FY2024, SEC EDGAR, https://www.sec.gov/Archives/edgar/data/18230/000001823025000004/cat_exx991x4qx2024xearning.htm</t>
        </r>
      </text>
    </comment>
    <comment ref="D17" authorId="0" shapeId="0" xr:uid="{00000000-0006-0000-0000-000014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G17" authorId="0" shapeId="0" xr:uid="{00000000-0006-0000-0000-000021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17" authorId="0" shapeId="0" xr:uid="{00000000-0006-0000-0000-000031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C20" authorId="0" shapeId="0" xr:uid="{00000000-0006-0000-0000-00000A000000}">
      <text>
        <r>
          <rPr>
            <sz val="10"/>
            <rFont val="Arial"/>
            <family val="2"/>
          </rPr>
          <t>Adam Stauffer:
Source: Caterpillar 10-K FY2024: Goodwill $5,241M + Intangibles $399M, SEC EDGAR earnings release, https://www.sec.gov/Archives/edgar/data/18230/000001823025000004/cat_exx991x4qx2024xearning.htm</t>
        </r>
      </text>
    </comment>
    <comment ref="D20" authorId="0" shapeId="0" xr:uid="{00000000-0006-0000-0000-000015000000}">
      <text>
        <r>
          <rPr>
            <sz val="10"/>
            <rFont val="Arial"/>
            <family val="2"/>
          </rPr>
          <t>Adam Stauffer:
Source: Caterpillar 10-K FY2023: Goodwill $5,308M + Intangibles $564M, SEC EDGAR</t>
        </r>
      </text>
    </comment>
    <comment ref="C21" authorId="0" shapeId="0" xr:uid="{00000000-0006-0000-0000-00000B000000}">
      <text>
        <r>
          <rPr>
            <sz val="10"/>
            <rFont val="Arial"/>
            <family val="2"/>
          </rPr>
          <t>Adam Stauffer:
Source: Caterpillar 10-K FY2024, other assets (non-current), SEC EDGAR, https://www.sec.gov/Archives/edgar/data/18230/000001823025000004/cat_exx991x4qx2024xearning.htm</t>
        </r>
      </text>
    </comment>
    <comment ref="D21" authorId="0" shapeId="0" xr:uid="{00000000-0006-0000-0000-000016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G21" authorId="0" shapeId="0" xr:uid="{00000000-0006-0000-0000-000022000000}">
      <text>
        <r>
          <rPr>
            <sz val="10"/>
            <rFont val="Arial"/>
            <family val="2"/>
          </rPr>
          <t>Adam Stauffer:
Source: Caterpillar 10-K FY2024, SEC EDGAR, https://www.sec.gov/Archives/edgar/data/18230/000001823025000008/cat-20241231.htm</t>
        </r>
      </text>
    </comment>
    <comment ref="H21" authorId="0" shapeId="0" xr:uid="{00000000-0006-0000-0000-000032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G22" authorId="0" shapeId="0" xr:uid="{00000000-0006-0000-0000-000023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22" authorId="0" shapeId="0" xr:uid="{00000000-0006-0000-0000-000033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G23" authorId="0" shapeId="0" xr:uid="{00000000-0006-0000-0000-000024000000}">
      <text>
        <r>
          <rPr>
            <sz val="10"/>
            <rFont val="Arial"/>
            <family val="2"/>
          </rPr>
          <t>Adam Stauffer:
Source: Caterpillar 10-K FY2024 (Profit employed in the business), SEC EDGAR</t>
        </r>
      </text>
    </comment>
    <comment ref="H23" authorId="0" shapeId="0" xr:uid="{00000000-0006-0000-0000-000034000000}">
      <text>
        <r>
          <rPr>
            <sz val="10"/>
            <rFont val="Arial"/>
            <family val="2"/>
          </rPr>
          <t>Adam Stauffer:
Source: Caterpillar 10-K FY2023 (Profit employed in the business), SEC EDGAR</t>
        </r>
      </text>
    </comment>
    <comment ref="G24" authorId="0" shapeId="0" xr:uid="{00000000-0006-0000-0000-000025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24" authorId="0" shapeId="0" xr:uid="{00000000-0006-0000-0000-000035000000}">
      <text>
        <r>
          <rPr>
            <sz val="10"/>
            <rFont val="Arial"/>
            <family val="2"/>
          </rPr>
          <t>Adam Stauffer:
Source: Caterpillar 10-K FY2023, SEC EDGAR</t>
        </r>
      </text>
    </comment>
    <comment ref="G25" authorId="0" shapeId="0" xr:uid="{00000000-0006-0000-0000-000026000000}">
      <text>
        <r>
          <rPr>
            <sz val="10"/>
            <rFont val="Arial"/>
            <family val="2"/>
          </rPr>
          <t>Adam Stauffer:
Source: Caterpillar 10-K FY2024, SEC EDGAR</t>
        </r>
      </text>
    </comment>
    <comment ref="H25" authorId="0" shapeId="0" xr:uid="{00000000-0006-0000-0000-000036000000}">
      <text>
        <r>
          <rPr>
            <sz val="10"/>
            <rFont val="Arial"/>
            <family val="2"/>
          </rPr>
          <t>Adam Stauffer:
Source: Caterpillar 10-K FY2023, SEC EDGAR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6" authorId="0" shapeId="0" xr:uid="{00000000-0006-0000-0100-000001000000}">
      <text>
        <r>
          <rPr>
            <sz val="10"/>
            <rFont val="Arial"/>
            <family val="2"/>
          </rPr>
          <t>Adam Stauffer:
Source: Caterpillar 10-K FY2024 — SGA expenses, SEC EDGAR, https://www.sec.gov/Archives/edgar/data/18230/000001823025000008/cat-20241231.htm</t>
        </r>
      </text>
    </comment>
  </commentList>
</comments>
</file>

<file path=xl/sharedStrings.xml><?xml version="1.0" encoding="utf-8"?>
<sst xmlns="http://schemas.openxmlformats.org/spreadsheetml/2006/main" count="333" uniqueCount="300">
  <si>
    <t>Balance Sheet — Caterpillar Inc. (CAT)</t>
  </si>
  <si>
    <t>ASSETS</t>
  </si>
  <si>
    <t>FY2024 (Dec 31, 2024)</t>
  </si>
  <si>
    <t>FY2023 (Dec 31, 2023)</t>
  </si>
  <si>
    <t>LIABILITIES &amp; EQUITY</t>
  </si>
  <si>
    <t>(All figures in $millions)</t>
  </si>
  <si>
    <t>Current Assets</t>
  </si>
  <si>
    <t>Current Liabilities</t>
  </si>
  <si>
    <t xml:space="preserve">   Cash and cash equivalents</t>
  </si>
  <si>
    <t xml:space="preserve">   Short-term borrowings</t>
  </si>
  <si>
    <t xml:space="preserve">   Receivables — trade and other</t>
  </si>
  <si>
    <t xml:space="preserve">   Accounts payable</t>
  </si>
  <si>
    <t xml:space="preserve">   Receivables — finance (Cat Financial)</t>
  </si>
  <si>
    <t xml:space="preserve">   Accrued expenses</t>
  </si>
  <si>
    <t xml:space="preserve">   Inventories</t>
  </si>
  <si>
    <t xml:space="preserve">   Accrued wages, salaries &amp; benefits</t>
  </si>
  <si>
    <t xml:space="preserve">   Other current assets</t>
  </si>
  <si>
    <t xml:space="preserve">   Customer advances</t>
  </si>
  <si>
    <t xml:space="preserve">   Total current assets</t>
  </si>
  <si>
    <t xml:space="preserve">   Dividends payable</t>
  </si>
  <si>
    <t xml:space="preserve">   Other current liabilities</t>
  </si>
  <si>
    <t xml:space="preserve">   Property, plant, and equipment</t>
  </si>
  <si>
    <t xml:space="preserve">   Long-term debt due within one year</t>
  </si>
  <si>
    <t xml:space="preserve">   Less accumulated depreciation</t>
  </si>
  <si>
    <t xml:space="preserve">   Total current liabilities</t>
  </si>
  <si>
    <t xml:space="preserve">   Net tangible fixed assets</t>
  </si>
  <si>
    <t xml:space="preserve">   Long-term debt due after one year</t>
  </si>
  <si>
    <t xml:space="preserve">   Long-term receivables — trade and finance</t>
  </si>
  <si>
    <t xml:space="preserve">   Liability for postemployment benefits</t>
  </si>
  <si>
    <t xml:space="preserve">   Deferred income taxes (noncurrent)</t>
  </si>
  <si>
    <t xml:space="preserve">   Other liabilities</t>
  </si>
  <si>
    <t>Total Liabilities</t>
  </si>
  <si>
    <t>Other Assets</t>
  </si>
  <si>
    <t xml:space="preserve">   Intangible assets (goodwill)</t>
  </si>
  <si>
    <t>Shareholders' Equity</t>
  </si>
  <si>
    <t xml:space="preserve">   Other assets</t>
  </si>
  <si>
    <t xml:space="preserve">   Common stock</t>
  </si>
  <si>
    <t xml:space="preserve">   Treasury stock</t>
  </si>
  <si>
    <t xml:space="preserve">   Profit employed in the business</t>
  </si>
  <si>
    <t xml:space="preserve">   Accumulated other comprehensive income (loss)</t>
  </si>
  <si>
    <t xml:space="preserve">   Noncontrolling interests</t>
  </si>
  <si>
    <t xml:space="preserve">   Total shareholders' equity</t>
  </si>
  <si>
    <t>Total Assets</t>
  </si>
  <si>
    <t>Balance Check (TA − TL&amp;E)</t>
  </si>
  <si>
    <t>Total Liabilities + Equity</t>
  </si>
  <si>
    <t>Source: Caterpillar 10-K FY2024, SEC EDGAR</t>
  </si>
  <si>
    <t>Income Statement — Caterpillar Inc. (CAT)</t>
  </si>
  <si>
    <t>Line Item</t>
  </si>
  <si>
    <t>% of Sales</t>
  </si>
  <si>
    <t>Net sales</t>
  </si>
  <si>
    <t>less Cost of goods sold</t>
  </si>
  <si>
    <t>less Selling, general &amp; administrative</t>
  </si>
  <si>
    <t>less Depreciation</t>
  </si>
  <si>
    <t>Earnings before interest &amp; taxes (EBIT)</t>
  </si>
  <si>
    <t>plus Other income</t>
  </si>
  <si>
    <t>less Interest expense</t>
  </si>
  <si>
    <t>Taxable income</t>
  </si>
  <si>
    <t>less Taxes</t>
  </si>
  <si>
    <t>Net income</t>
  </si>
  <si>
    <t>Allocation of Net Income</t>
  </si>
  <si>
    <t>Dividends</t>
  </si>
  <si>
    <t>Addition to retained earnings</t>
  </si>
  <si>
    <t>Cash Flow Statement — Caterpillar Inc. (CAT)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</si>
  <si>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</si>
  <si>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</si>
  <si>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</si>
  <si>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</si>
  <si>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</si>
  <si>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</si>
  <si>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</si>
  <si>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</si>
  <si>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</si>
  <si>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</si>
  <si>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</si>
  <si>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</si>
  <si>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</si>
  <si>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</si>
  <si>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</si>
  <si>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</si>
  <si>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</si>
  <si>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</si>
  <si>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</si>
  <si>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</si>
  <si>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</si>
  <si>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</si>
  <si>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</si>
  <si>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</si>
  <si>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</si>
  <si>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</si>
  <si>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Caterpillar Inc. (CAT)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</si>
  <si>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</si>
  <si>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</si>
  <si>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</si>
  <si>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</si>
  <si>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</si>
  <si>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</si>
  <si>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</si>
  <si>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</si>
  <si>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</si>
  <si>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</si>
  <si>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</si>
  <si>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</si>
  <si>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</si>
  <si>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</si>
  <si>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</si>
  <si>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</si>
  <si>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</si>
  <si>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</si>
  <si>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</si>
  <si>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</si>
  <si>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</si>
  <si>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</si>
  <si>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BAL_equity_shareholders_2023</t>
  </si>
  <si>
    <t>startYear_equity</t>
  </si>
  <si>
    <t>Inventories (start of year)</t>
  </si>
  <si>
    <t>BAL_inventories_2023</t>
  </si>
  <si>
    <t>startYear_inventory</t>
  </si>
  <si>
    <t>Receivables (start of year)</t>
  </si>
  <si>
    <t>BAL_receivables_2023</t>
  </si>
  <si>
    <t>startYear_receivables</t>
  </si>
  <si>
    <t>Total assets (start of year)</t>
  </si>
  <si>
    <t>BAL_assets_total_2023</t>
  </si>
  <si>
    <t>startYear_total_assets</t>
  </si>
  <si>
    <t>Total capitalization (start of year)</t>
  </si>
  <si>
    <t>BAL_debt_long_term_2023 + BAL_equity_shareholders_2023</t>
  </si>
  <si>
    <t>startYear_total_capitalization</t>
  </si>
  <si>
    <t>─── Current Year (Derived) ───</t>
  </si>
  <si>
    <t>After-tax operating income</t>
  </si>
  <si>
    <t>INC_net + (1−tax_rate) × INC_interest_expense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</si>
  <si>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</si>
  <si>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</si>
  <si>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</si>
  <si>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</si>
  <si>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</si>
  <si>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BAL_equity_shareholders_2024</t>
  </si>
  <si>
    <t>currentYear_equity</t>
  </si>
  <si>
    <t>Cash + Mktable securities</t>
  </si>
  <si>
    <t>BAL_cash_marketable_securities_2024</t>
  </si>
  <si>
    <t>currentYear_cash_marketable_securities</t>
  </si>
  <si>
    <t>Current assets</t>
  </si>
  <si>
    <t>BAL_assets_current_2024</t>
  </si>
  <si>
    <t>currentYear_assets_current</t>
  </si>
  <si>
    <t>Current liabilities</t>
  </si>
  <si>
    <t>BAL_liabilities_current_2024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</si>
  <si>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</si>
  <si>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</si>
  <si>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</si>
  <si>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</si>
  <si>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</si>
  <si>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BAL_debt_long_term_2024</t>
  </si>
  <si>
    <t>currentYear_debt_long_term</t>
  </si>
  <si>
    <t>Net working capital</t>
  </si>
  <si>
    <t>BAL_assets_current_2024 − BAL_liabilities_current_2024</t>
  </si>
  <si>
    <t>currentYear_working_capital_net</t>
  </si>
  <si>
    <t>Total assets</t>
  </si>
  <si>
    <t>BAL_assets_total_2024</t>
  </si>
  <si>
    <t>currentYear_assets_total</t>
  </si>
  <si>
    <t>Total capitalization</t>
  </si>
  <si>
    <t>BAL_debt_long_term_2024 + BAL_equity_shareholders_2024</t>
  </si>
  <si>
    <t>currentYear_total_capitalization</t>
  </si>
  <si>
    <t>Total liabilities</t>
  </si>
  <si>
    <t>BAL_liabilities_total_2024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</si>
  <si>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</si>
  <si>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</si>
  <si>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</si>
  <si>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</si>
  <si>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</si>
  <si>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</si>
  <si>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</si>
  <si>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</si>
  <si>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</si>
  <si>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</si>
  <si>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</si>
  <si>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</si>
  <si>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</si>
  <si>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</si>
  <si>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</si>
  <si>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</si>
  <si>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</si>
  <si>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</si>
  <si>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</si>
  <si>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</si>
  <si>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</si>
  <si>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</si>
  <si>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</si>
  <si>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</si>
  <si>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</si>
  <si>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</si>
  <si>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</si>
  <si>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</si>
  <si>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</si>
  <si>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</si>
  <si>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</si>
  <si>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</si>
  <si>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</si>
  <si>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</si>
  <si>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</si>
  <si>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</si>
  <si>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</si>
  <si>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</si>
  <si>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</si>
  <si>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</si>
  <si>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</si>
  <si>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</si>
  <si>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</si>
  <si>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</si>
  <si>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</si>
  <si>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</si>
  <si>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</si>
  <si>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</si>
  <si>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</si>
  <si>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</si>
  <si>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</si>
  <si>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</si>
  <si>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</si>
  <si>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</si>
  <si>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</si>
  <si>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</si>
  <si>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</si>
  <si>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</si>
  <si>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</si>
  <si>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</si>
  <si>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</si>
  <si>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</si>
  <si>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INC_ebit / INC_interest_expense</t>
  </si>
  <si>
    <t>Cash coverage ratio</t>
  </si>
  <si>
    <t>(INC_ebit + INC_depreciation) / INC_interest_expense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</si>
  <si>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</si>
  <si>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</si>
  <si>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</si>
  <si>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</si>
  <si>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</si>
  <si>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</si>
  <si>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</si>
  <si>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</si>
  <si>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</si>
  <si>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</si>
  <si>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</si>
  <si>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</si>
  <si>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(currentYear_cash_marketable_securities + BAL_receivables_YEAR) / currentYear_liabilities_current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</si>
  <si>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</si>
  <si>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</si>
  <si>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</si>
  <si>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</si>
  <si>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</si>
  <si>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</si>
  <si>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</si>
  <si>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</si>
  <si>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</si>
  <si>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</si>
  <si>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</si>
  <si>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</si>
  <si>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</si>
  <si>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</si>
  <si>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</si>
  <si>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</si>
  <si>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</si>
  <si>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Caterpillar Inc. (CAT)</t>
  </si>
  <si>
    <t>Company:</t>
  </si>
  <si>
    <t>Caterpillar Inc.</t>
  </si>
  <si>
    <t>Ticker:</t>
  </si>
  <si>
    <t>CAT</t>
  </si>
  <si>
    <t>Industry:</t>
  </si>
  <si>
    <t>Industrials – Heavy Machinery &amp; Equipment</t>
  </si>
  <si>
    <t>Fiscal Year (current):</t>
  </si>
  <si>
    <t>Fiscal Year (prior):</t>
  </si>
  <si>
    <t>Data Source:</t>
  </si>
  <si>
    <t>Caterpillar 10-K FY2024, SEC EDGAR</t>
  </si>
  <si>
    <t>Units:</t>
  </si>
  <si>
    <t>All figures in millions of US dollars unless otherwise noted.</t>
  </si>
  <si>
    <t>Tax Rate:</t>
  </si>
  <si>
    <t>Cost of Capital:</t>
  </si>
  <si>
    <t>Share Price:</t>
  </si>
  <si>
    <t>$349.58 — end-of-fiscal-year closing price</t>
  </si>
  <si>
    <t>Shares Outstanding:</t>
  </si>
  <si>
    <t>492M shares</t>
  </si>
  <si>
    <t>AI Usage:</t>
  </si>
  <si>
    <t>Color Coding:</t>
  </si>
  <si>
    <t>Yellow = Editable input cells</t>
  </si>
  <si>
    <t>Blue = Assumptions</t>
  </si>
  <si>
    <t>Green = Formula cells</t>
  </si>
  <si>
    <t>Gray = Output / summary cells</t>
  </si>
  <si>
    <t>7.9% — estimated WACC</t>
  </si>
  <si>
    <t>21.4% — assumed</t>
  </si>
  <si>
    <r>
      <t>startYear_equity</t>
    </r>
    <r>
      <rPr>
        <sz val="9"/>
        <color rgb="FF000000"/>
        <rFont val="Arial"/>
        <family val="2"/>
      </rPr>
      <t xml:space="preserve"> → now correctly pulls Total Shareholders' Equity FY2023 (was pulling Treasury Stock)</t>
    </r>
  </si>
  <si>
    <r>
      <t>startYear_total_capitalization</t>
    </r>
    <r>
      <rPr>
        <sz val="9"/>
        <color rgb="FF000000"/>
        <rFont val="Arial"/>
        <family val="2"/>
      </rPr>
      <t xml:space="preserve"> → corrected to LT Debt + Equity FY2023</t>
    </r>
  </si>
  <si>
    <r>
      <t>after_tax_operating_income</t>
    </r>
    <r>
      <rPr>
        <sz val="9"/>
        <color rgb="FF000000"/>
        <rFont val="Arial"/>
        <family val="2"/>
      </rPr>
      <t xml:space="preserve"> → fixed to Net Income + (1−tax) × Interest Expense (was referencing wrong income statement rows)</t>
    </r>
  </si>
  <si>
    <r>
      <t>currentYear_equity</t>
    </r>
    <r>
      <rPr>
        <sz val="9"/>
        <color rgb="FF000000"/>
        <rFont val="Arial"/>
        <family val="2"/>
      </rPr>
      <t xml:space="preserve"> → Total Shareholders' Equity FY2024</t>
    </r>
  </si>
  <si>
    <r>
      <t>currentYear_liabilities_current</t>
    </r>
    <r>
      <rPr>
        <sz val="9"/>
        <color rgb="FF000000"/>
        <rFont val="Arial"/>
        <family val="2"/>
      </rPr>
      <t xml:space="preserve"> → Total Current Liabilities (was pulling Customer Advances)</t>
    </r>
  </si>
  <si>
    <r>
      <t>currentYear_debt_long_term</t>
    </r>
    <r>
      <rPr>
        <sz val="9"/>
        <color rgb="FF000000"/>
        <rFont val="Arial"/>
        <family val="2"/>
      </rPr>
      <t xml:space="preserve"> → LT Debt Due After One Year (was pulling Other Current Liabilities)</t>
    </r>
  </si>
  <si>
    <r>
      <t>currentYear_total_capitalization</t>
    </r>
    <r>
      <rPr>
        <sz val="9"/>
        <color rgb="FF000000"/>
        <rFont val="Arial"/>
        <family val="2"/>
      </rPr>
      <t xml:space="preserve"> → corrected LT Debt + Equity FY2024</t>
    </r>
  </si>
  <si>
    <r>
      <t>currentYear_liabilities_total</t>
    </r>
    <r>
      <rPr>
        <sz val="9"/>
        <color rgb="FF000000"/>
        <rFont val="Arial"/>
        <family val="2"/>
      </rPr>
      <t xml:space="preserve"> → Total Liabilities FY2024</t>
    </r>
  </si>
  <si>
    <r>
      <t>named ranges added (</t>
    </r>
    <r>
      <rPr>
        <sz val="9"/>
        <color rgb="FF188038"/>
        <rFont val="Courier New"/>
        <family val="1"/>
      </rPr>
      <t>RATIO_asset_turnover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RATIO_operating_profit_margin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RATIO_debt_burden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RATIO_leverage</t>
    </r>
    <r>
      <rPr>
        <sz val="9"/>
        <color rgb="FF000000"/>
        <rFont val="Arial"/>
        <family val="2"/>
      </rPr>
      <t>) for Du Pont cross-references.</t>
    </r>
  </si>
  <si>
    <r>
      <t>ROE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ROE [avg]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Profit Margin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Debt Burden</t>
    </r>
    <r>
      <rPr>
        <sz val="9"/>
        <color rgb="FF000000"/>
        <rFont val="Arial"/>
        <family val="2"/>
      </rPr>
      <t xml:space="preserve"> → now use </t>
    </r>
    <r>
      <rPr>
        <sz val="9"/>
        <color rgb="FF188038"/>
        <rFont val="Courier New"/>
        <family val="1"/>
      </rPr>
      <t>INC_net</t>
    </r>
  </si>
  <si>
    <r>
      <t>Asset Turnover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Receivables Turnover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Operating Profit Margin</t>
    </r>
    <r>
      <rPr>
        <sz val="9"/>
        <color rgb="FF000000"/>
        <rFont val="Arial"/>
        <family val="2"/>
      </rPr>
      <t xml:space="preserve"> → now use </t>
    </r>
    <r>
      <rPr>
        <sz val="9"/>
        <color rgb="FF188038"/>
        <rFont val="Courier New"/>
        <family val="1"/>
      </rPr>
      <t>INC_sales</t>
    </r>
  </si>
  <si>
    <r>
      <t>Inventory Turnover</t>
    </r>
    <r>
      <rPr>
        <sz val="9"/>
        <color rgb="FF000000"/>
        <rFont val="Arial"/>
        <family val="2"/>
      </rPr>
      <t xml:space="preserve"> → now uses </t>
    </r>
    <r>
      <rPr>
        <sz val="9"/>
        <color rgb="FF188038"/>
        <rFont val="Courier New"/>
        <family val="1"/>
      </rPr>
      <t>INC_cost_goods_sold</t>
    </r>
  </si>
  <si>
    <r>
      <t>Times Interest Earned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Cash Coverage</t>
    </r>
    <r>
      <rPr>
        <sz val="9"/>
        <color rgb="FF000000"/>
        <rFont val="Arial"/>
        <family val="2"/>
      </rPr>
      <t xml:space="preserve"> → now use </t>
    </r>
    <r>
      <rPr>
        <sz val="9"/>
        <color rgb="FF188038"/>
        <rFont val="Courier New"/>
        <family val="1"/>
      </rPr>
      <t>INC_ebit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INC_interest_expense</t>
    </r>
    <r>
      <rPr>
        <sz val="9"/>
        <color rgb="FF000000"/>
        <rFont val="Arial"/>
        <family val="2"/>
      </rPr>
      <t xml:space="preserve">, </t>
    </r>
    <r>
      <rPr>
        <sz val="9"/>
        <color rgb="FF188038"/>
        <rFont val="Courier New"/>
        <family val="1"/>
      </rPr>
      <t>INC_depreciation</t>
    </r>
  </si>
  <si>
    <r>
      <t>Quick Ratio</t>
    </r>
    <r>
      <rPr>
        <sz val="9"/>
        <color rgb="FF000000"/>
        <rFont val="Arial"/>
        <family val="2"/>
      </rPr>
      <t xml:space="preserve"> → now uses new </t>
    </r>
    <r>
      <rPr>
        <sz val="9"/>
        <color rgb="FF188038"/>
        <rFont val="Courier New"/>
        <family val="1"/>
      </rPr>
      <t>BAL_receivables_2024</t>
    </r>
    <r>
      <rPr>
        <sz val="9"/>
        <color rgb="FF000000"/>
        <rFont val="Arial"/>
        <family val="2"/>
      </rPr>
      <t xml:space="preserve"> named range instead of a bare cell reference</t>
    </r>
  </si>
  <si>
    <r>
      <t xml:space="preserve">All </t>
    </r>
    <r>
      <rPr>
        <b/>
        <sz val="9"/>
        <color rgb="FF000000"/>
        <rFont val="Arial"/>
        <family val="2"/>
      </rPr>
      <t>Du Pont</t>
    </r>
    <r>
      <rPr>
        <sz val="9"/>
        <color rgb="FF000000"/>
        <rFont val="Arial"/>
        <family val="2"/>
      </rPr>
      <t xml:space="preserve"> formulas → now use </t>
    </r>
    <r>
      <rPr>
        <sz val="9"/>
        <color rgb="FF188038"/>
        <rFont val="Courier New"/>
        <family val="1"/>
      </rPr>
      <t>RATIO_*</t>
    </r>
    <r>
      <rPr>
        <sz val="9"/>
        <color rgb="FF000000"/>
        <rFont val="Arial"/>
        <family val="2"/>
      </rPr>
      <t xml:space="preserve"> named ranges throughout</t>
    </r>
  </si>
  <si>
    <t>Claude - formula refinement, data pulling from 10K, and final formating.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</si>
</sst>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0.0%;\(0.0%\);\-"/>
    <numFmt numFmtId="167" formatCode="#,##0.000"/>
    <numFmt numFmtId="168" formatCode="0.00\x"/>
    <numFmt numFmtId="169" formatCode="0.0"/>
  </numFmts>
  <fonts count="25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sz val="11"/>
      <color theme="1"/>
      <name val="Open Sans"/>
      <charset val="1"/>
    </font>
    <font>
      <b/>
      <sz val="13"/>
      <color rgb="FF1F3864"/>
      <name val="Open Sans"/>
      <charset val="1"/>
    </font>
    <font>
      <b/>
      <sz val="10"/>
      <color rgb="FFFFFFFF"/>
      <name val="Open Sans"/>
      <charset val="1"/>
    </font>
    <font>
      <b/>
      <sz val="9"/>
      <color rgb="FFFFFFFF"/>
      <name val="Open Sans"/>
      <charset val="1"/>
    </font>
    <font>
      <sz val="8"/>
      <color rgb="FF666666"/>
      <name val="Open Sans"/>
      <charset val="1"/>
    </font>
    <font>
      <sz val="10"/>
      <color rgb="FF000000"/>
      <name val="Open Sans"/>
      <charset val="1"/>
    </font>
    <font>
      <sz val="10"/>
      <color rgb="FF0000FF"/>
      <name val="Open Sans"/>
      <charset val="1"/>
    </font>
    <font>
      <b/>
      <sz val="10"/>
      <color rgb="FF000000"/>
      <name val="Open Sans"/>
      <charset val="1"/>
    </font>
    <font>
      <b/>
      <sz val="10"/>
      <color rgb="FF1F3864"/>
      <name val="Open Sans"/>
      <charset val="1"/>
    </font>
    <font>
      <b/>
      <sz val="11"/>
      <color rgb="FF1F3864"/>
      <name val="Open Sans"/>
      <charset val="1"/>
    </font>
    <font>
      <i/>
      <sz val="9"/>
      <color rgb="FF999999"/>
      <name val="Open Sans"/>
      <charset val="1"/>
    </font>
    <font>
      <sz val="9"/>
      <color rgb="FF444444"/>
      <name val="Open Sans"/>
      <charset val="1"/>
    </font>
    <font>
      <sz val="9"/>
      <color rgb="FF1F3864"/>
      <name val="Open Sans"/>
      <charset val="1"/>
    </font>
    <font>
      <sz val="11"/>
      <color rgb="FF000000"/>
      <name val="Cambria"/>
      <family val="1"/>
    </font>
    <font>
      <sz val="9"/>
      <color rgb="FF777777"/>
      <name val="Open Sans"/>
      <charset val="1"/>
    </font>
    <font>
      <b/>
      <sz val="9"/>
      <color rgb="FF000000"/>
      <name val="Open Sans"/>
      <charset val="1"/>
    </font>
    <font>
      <sz val="8"/>
      <color rgb="FF000000"/>
      <name val="Open Sans"/>
      <charset val="1"/>
    </font>
    <font>
      <b/>
      <sz val="9"/>
      <color rgb="FF1F3864"/>
      <name val="Open Sans"/>
      <charset val="1"/>
    </font>
    <font>
      <sz val="9"/>
      <color rgb="FF000000"/>
      <name val="Open Sans"/>
      <charset val="1"/>
    </font>
    <font>
      <sz val="9"/>
      <color rgb="FF188038"/>
      <name val="Courier New"/>
      <family val="1"/>
    </font>
    <font>
      <sz val="9"/>
      <color rgb="FF000000"/>
      <name val="Arial"/>
      <family val="2"/>
    </font>
    <font>
      <sz val="9"/>
      <color theme="1"/>
      <name val="Calibri"/>
      <family val="2"/>
      <charset val="1"/>
    </font>
    <font>
      <b/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rgb="FFD9D9D9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6" fillId="3" borderId="0" xfId="0" applyFont="1" applyFill="1"/>
    <xf numFmtId="0" fontId="4" fillId="4" borderId="0" xfId="0" applyFont="1" applyFill="1" applyAlignment="1">
      <alignment horizontal="left" vertical="center"/>
    </xf>
    <xf numFmtId="0" fontId="2" fillId="4" borderId="0" xfId="0" applyFont="1" applyFill="1"/>
    <xf numFmtId="0" fontId="4" fillId="4" borderId="0" xfId="0" applyFont="1" applyFill="1" applyAlignment="1">
      <alignment horizontal="left"/>
    </xf>
    <xf numFmtId="0" fontId="0" fillId="4" borderId="0" xfId="0" applyFill="1"/>
    <xf numFmtId="0" fontId="7" fillId="3" borderId="0" xfId="0" applyFont="1" applyFill="1" applyAlignment="1">
      <alignment horizontal="left" vertical="center"/>
    </xf>
    <xf numFmtId="164" fontId="8" fillId="5" borderId="1" xfId="0" applyNumberFormat="1" applyFont="1" applyFill="1" applyBorder="1" applyAlignment="1">
      <alignment horizontal="right" vertical="center"/>
    </xf>
    <xf numFmtId="0" fontId="7" fillId="3" borderId="0" xfId="0" applyFont="1" applyFill="1" applyAlignment="1">
      <alignment horizontal="left"/>
    </xf>
    <xf numFmtId="164" fontId="8" fillId="5" borderId="2" xfId="0" applyNumberFormat="1" applyFont="1" applyFill="1" applyBorder="1" applyAlignment="1">
      <alignment horizontal="right"/>
    </xf>
    <xf numFmtId="164" fontId="8" fillId="5" borderId="3" xfId="0" applyNumberFormat="1" applyFont="1" applyFill="1" applyBorder="1" applyAlignment="1">
      <alignment horizontal="right"/>
    </xf>
    <xf numFmtId="0" fontId="9" fillId="6" borderId="0" xfId="0" applyFont="1" applyFill="1" applyAlignment="1">
      <alignment horizontal="left" vertical="center"/>
    </xf>
    <xf numFmtId="3" fontId="10" fillId="7" borderId="1" xfId="0" applyNumberFormat="1" applyFont="1" applyFill="1" applyBorder="1" applyAlignment="1">
      <alignment horizontal="right" vertical="center"/>
    </xf>
    <xf numFmtId="0" fontId="9" fillId="6" borderId="0" xfId="0" applyFont="1" applyFill="1" applyAlignment="1">
      <alignment horizontal="left"/>
    </xf>
    <xf numFmtId="3" fontId="9" fillId="7" borderId="4" xfId="0" applyNumberFormat="1" applyFont="1" applyFill="1" applyBorder="1" applyAlignment="1">
      <alignment horizontal="right"/>
    </xf>
    <xf numFmtId="3" fontId="9" fillId="7" borderId="1" xfId="0" applyNumberFormat="1" applyFont="1" applyFill="1" applyBorder="1" applyAlignment="1">
      <alignment horizontal="right"/>
    </xf>
    <xf numFmtId="3" fontId="10" fillId="7" borderId="0" xfId="0" applyNumberFormat="1" applyFont="1" applyFill="1" applyAlignment="1">
      <alignment horizontal="right" vertical="center"/>
    </xf>
    <xf numFmtId="3" fontId="8" fillId="7" borderId="1" xfId="0" applyNumberFormat="1" applyFont="1" applyFill="1" applyBorder="1" applyAlignment="1">
      <alignment horizontal="right" vertical="center"/>
    </xf>
    <xf numFmtId="3" fontId="8" fillId="7" borderId="0" xfId="0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left" vertical="center"/>
    </xf>
    <xf numFmtId="3" fontId="4" fillId="2" borderId="1" xfId="0" applyNumberFormat="1" applyFont="1" applyFill="1" applyBorder="1" applyAlignment="1">
      <alignment horizontal="right" vertical="center"/>
    </xf>
    <xf numFmtId="0" fontId="12" fillId="0" borderId="0" xfId="0" applyFont="1"/>
    <xf numFmtId="3" fontId="12" fillId="0" borderId="0" xfId="0" applyNumberFormat="1" applyFont="1"/>
    <xf numFmtId="0" fontId="11" fillId="2" borderId="0" xfId="0" applyFont="1" applyFill="1" applyAlignment="1">
      <alignment horizontal="left"/>
    </xf>
    <xf numFmtId="3" fontId="4" fillId="2" borderId="4" xfId="0" applyNumberFormat="1" applyFont="1" applyFill="1" applyBorder="1" applyAlignment="1">
      <alignment horizontal="right"/>
    </xf>
    <xf numFmtId="3" fontId="4" fillId="2" borderId="1" xfId="0" applyNumberFormat="1" applyFont="1" applyFill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164" fontId="8" fillId="5" borderId="0" xfId="0" applyNumberFormat="1" applyFont="1" applyFill="1" applyAlignment="1">
      <alignment horizontal="right" vertical="center"/>
    </xf>
    <xf numFmtId="165" fontId="7" fillId="8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166" fontId="7" fillId="8" borderId="0" xfId="0" applyNumberFormat="1" applyFont="1" applyFill="1" applyAlignment="1">
      <alignment horizontal="right" vertical="center"/>
    </xf>
    <xf numFmtId="164" fontId="9" fillId="7" borderId="0" xfId="0" applyNumberFormat="1" applyFont="1" applyFill="1" applyAlignment="1">
      <alignment horizontal="right" vertical="center"/>
    </xf>
    <xf numFmtId="165" fontId="7" fillId="8" borderId="0" xfId="0" applyNumberFormat="1" applyFont="1" applyFill="1"/>
    <xf numFmtId="3" fontId="7" fillId="7" borderId="0" xfId="0" applyNumberFormat="1" applyFont="1" applyFill="1"/>
    <xf numFmtId="0" fontId="6" fillId="3" borderId="0" xfId="0" applyFont="1" applyFill="1" applyAlignment="1">
      <alignment horizontal="left" vertical="center"/>
    </xf>
    <xf numFmtId="164" fontId="8" fillId="9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4" fontId="7" fillId="7" borderId="0" xfId="0" applyNumberFormat="1" applyFont="1" applyFill="1" applyAlignment="1">
      <alignment horizontal="right" vertical="center"/>
    </xf>
    <xf numFmtId="167" fontId="7" fillId="7" borderId="0" xfId="0" applyNumberFormat="1" applyFont="1" applyFill="1" applyAlignment="1">
      <alignment horizontal="right" vertical="center"/>
    </xf>
    <xf numFmtId="4" fontId="15" fillId="10" borderId="1" xfId="0" applyNumberFormat="1" applyFont="1" applyFill="1" applyBorder="1" applyAlignment="1">
      <alignment horizontal="center" vertical="center"/>
    </xf>
    <xf numFmtId="168" fontId="15" fillId="10" borderId="1" xfId="0" applyNumberFormat="1" applyFont="1" applyFill="1" applyBorder="1" applyAlignment="1">
      <alignment horizontal="center" vertical="center"/>
    </xf>
    <xf numFmtId="10" fontId="15" fillId="10" borderId="1" xfId="0" applyNumberFormat="1" applyFont="1" applyFill="1" applyBorder="1" applyAlignment="1">
      <alignment horizontal="center" vertical="center"/>
    </xf>
    <xf numFmtId="2" fontId="15" fillId="10" borderId="1" xfId="0" applyNumberFormat="1" applyFont="1" applyFill="1" applyBorder="1" applyAlignment="1">
      <alignment horizontal="center" vertical="center"/>
    </xf>
    <xf numFmtId="169" fontId="15" fillId="10" borderId="1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9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3" fillId="0" borderId="0" xfId="0" applyFont="1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21" fillId="0" borderId="0" xfId="0" applyFont="1"/>
    <xf numFmtId="0" fontId="23" fillId="0" borderId="0" xfId="0" applyFont="1"/>
    <xf numFmtId="0" fontId="2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777777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9" sqref="G9"/>
    </sheetView>
  </sheetViews>
  <sheetFormatPr baseColWidth="10" defaultColWidth="8.6640625" defaultRowHeight="15" x14ac:dyDescent="0.2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19.5" customHeight="1" x14ac:dyDescent="0.2">
      <c r="A1" s="1"/>
      <c r="B1" s="2" t="s">
        <v>0</v>
      </c>
      <c r="C1" s="1"/>
      <c r="D1" s="1"/>
      <c r="E1" s="1"/>
      <c r="F1" s="1"/>
      <c r="G1" s="1"/>
      <c r="H1" s="1"/>
    </row>
    <row r="2" spans="1:8" ht="16.5" customHeight="1" x14ac:dyDescent="0.2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6.5" customHeight="1" x14ac:dyDescent="0.2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6.5" customHeight="1" x14ac:dyDescent="0.2">
      <c r="A4" s="1"/>
      <c r="B4" s="7" t="s">
        <v>6</v>
      </c>
      <c r="C4" s="8"/>
      <c r="D4" s="8"/>
      <c r="E4" s="5"/>
      <c r="F4" s="9" t="s">
        <v>7</v>
      </c>
      <c r="G4" s="10"/>
      <c r="H4" s="10"/>
    </row>
    <row r="5" spans="1:8" ht="16.5" customHeight="1" x14ac:dyDescent="0.2">
      <c r="A5" s="1"/>
      <c r="B5" s="11" t="s">
        <v>8</v>
      </c>
      <c r="C5" s="12">
        <v>6889</v>
      </c>
      <c r="D5" s="12">
        <v>6978</v>
      </c>
      <c r="E5" s="5"/>
      <c r="F5" s="13" t="s">
        <v>9</v>
      </c>
      <c r="G5" s="14">
        <v>4393</v>
      </c>
      <c r="H5" s="15">
        <v>4643</v>
      </c>
    </row>
    <row r="6" spans="1:8" ht="16.5" customHeight="1" x14ac:dyDescent="0.2">
      <c r="A6" s="1"/>
      <c r="B6" s="11" t="s">
        <v>10</v>
      </c>
      <c r="C6" s="12">
        <v>9282</v>
      </c>
      <c r="D6" s="12">
        <v>9310</v>
      </c>
      <c r="E6" s="5"/>
      <c r="F6" s="13" t="s">
        <v>11</v>
      </c>
      <c r="G6" s="14">
        <v>7675</v>
      </c>
      <c r="H6" s="15">
        <v>7906</v>
      </c>
    </row>
    <row r="7" spans="1:8" ht="16.5" customHeight="1" x14ac:dyDescent="0.2">
      <c r="A7" s="1"/>
      <c r="B7" s="11" t="s">
        <v>12</v>
      </c>
      <c r="C7" s="12">
        <v>9565</v>
      </c>
      <c r="D7" s="12">
        <v>9510</v>
      </c>
      <c r="E7" s="5"/>
      <c r="F7" s="13" t="s">
        <v>13</v>
      </c>
      <c r="G7" s="14">
        <v>5243</v>
      </c>
      <c r="H7" s="15">
        <v>4958</v>
      </c>
    </row>
    <row r="8" spans="1:8" ht="16.5" customHeight="1" x14ac:dyDescent="0.2">
      <c r="A8" s="1"/>
      <c r="B8" s="11" t="s">
        <v>14</v>
      </c>
      <c r="C8" s="12">
        <v>16827</v>
      </c>
      <c r="D8" s="12">
        <v>16565</v>
      </c>
      <c r="E8" s="5"/>
      <c r="F8" s="13" t="s">
        <v>15</v>
      </c>
      <c r="G8" s="14">
        <v>2391</v>
      </c>
      <c r="H8" s="15">
        <v>2757</v>
      </c>
    </row>
    <row r="9" spans="1:8" ht="16.5" customHeight="1" x14ac:dyDescent="0.2">
      <c r="A9" s="1"/>
      <c r="B9" s="11" t="s">
        <v>16</v>
      </c>
      <c r="C9" s="12">
        <v>3119</v>
      </c>
      <c r="D9" s="12">
        <v>4586</v>
      </c>
      <c r="E9" s="5"/>
      <c r="F9" s="13" t="s">
        <v>17</v>
      </c>
      <c r="G9" s="14">
        <v>2322</v>
      </c>
      <c r="H9" s="15">
        <v>1929</v>
      </c>
    </row>
    <row r="10" spans="1:8" ht="16.5" customHeight="1" x14ac:dyDescent="0.2">
      <c r="A10" s="1"/>
      <c r="B10" s="16" t="s">
        <v>18</v>
      </c>
      <c r="C10" s="17">
        <f>SUM(C5:C9)</f>
        <v>45682</v>
      </c>
      <c r="D10" s="17">
        <f>SUM(D5:D9)</f>
        <v>46949</v>
      </c>
      <c r="E10" s="5"/>
      <c r="F10" s="13" t="s">
        <v>19</v>
      </c>
      <c r="G10" s="14">
        <v>674</v>
      </c>
      <c r="H10" s="15">
        <v>649</v>
      </c>
    </row>
    <row r="11" spans="1:8" ht="16.5" customHeight="1" x14ac:dyDescent="0.2">
      <c r="A11" s="1"/>
      <c r="B11" s="1"/>
      <c r="C11" s="1"/>
      <c r="D11" s="1"/>
      <c r="E11" s="5"/>
      <c r="F11" s="13" t="s">
        <v>20</v>
      </c>
      <c r="G11" s="14">
        <v>2909</v>
      </c>
      <c r="H11" s="15">
        <v>3123</v>
      </c>
    </row>
    <row r="12" spans="1:8" ht="16.5" customHeight="1" x14ac:dyDescent="0.2">
      <c r="A12" s="1"/>
      <c r="B12" s="7" t="s">
        <v>21</v>
      </c>
      <c r="C12" s="8">
        <v>22574</v>
      </c>
      <c r="D12" s="8">
        <v>21497</v>
      </c>
      <c r="E12" s="5"/>
      <c r="F12" s="13" t="s">
        <v>22</v>
      </c>
      <c r="G12" s="14">
        <v>6665</v>
      </c>
      <c r="H12" s="15">
        <v>8763</v>
      </c>
    </row>
    <row r="13" spans="1:8" ht="16.5" customHeight="1" x14ac:dyDescent="0.2">
      <c r="A13" s="1"/>
      <c r="B13" s="11" t="s">
        <v>23</v>
      </c>
      <c r="C13" s="12">
        <v>9213</v>
      </c>
      <c r="D13" s="12">
        <v>8817</v>
      </c>
      <c r="E13" s="5"/>
      <c r="F13" s="18" t="s">
        <v>24</v>
      </c>
      <c r="G13" s="19">
        <f>SUM(G5:G12)</f>
        <v>32272</v>
      </c>
      <c r="H13" s="20">
        <f>SUM(H5:H12)</f>
        <v>34728</v>
      </c>
    </row>
    <row r="14" spans="1:8" ht="16.5" customHeight="1" x14ac:dyDescent="0.2">
      <c r="A14" s="1"/>
      <c r="B14" s="11" t="s">
        <v>25</v>
      </c>
      <c r="C14" s="12">
        <f>C12-C13</f>
        <v>13361</v>
      </c>
      <c r="D14" s="12">
        <f>D12-D13</f>
        <v>12680</v>
      </c>
      <c r="E14" s="5"/>
    </row>
    <row r="15" spans="1:8" ht="16.5" customHeight="1" x14ac:dyDescent="0.2">
      <c r="A15" s="1"/>
      <c r="B15" s="16"/>
      <c r="C15" s="17"/>
      <c r="D15" s="17"/>
      <c r="E15" s="5"/>
      <c r="F15" s="13" t="s">
        <v>26</v>
      </c>
      <c r="G15" s="14">
        <v>27351</v>
      </c>
      <c r="H15" s="15">
        <v>24472</v>
      </c>
    </row>
    <row r="16" spans="1:8" ht="16.5" customHeight="1" x14ac:dyDescent="0.2">
      <c r="A16" s="1"/>
      <c r="B16" s="16" t="s">
        <v>27</v>
      </c>
      <c r="C16" s="21">
        <v>14467</v>
      </c>
      <c r="D16" s="21">
        <v>13902</v>
      </c>
      <c r="E16" s="5"/>
      <c r="F16" s="13" t="s">
        <v>28</v>
      </c>
      <c r="G16" s="14">
        <v>3757</v>
      </c>
      <c r="H16" s="15">
        <v>4098</v>
      </c>
    </row>
    <row r="17" spans="1:8" ht="16.5" customHeight="1" x14ac:dyDescent="0.2">
      <c r="A17" s="1"/>
      <c r="B17" s="16" t="s">
        <v>29</v>
      </c>
      <c r="C17" s="21">
        <v>3312</v>
      </c>
      <c r="D17" s="21">
        <v>2816</v>
      </c>
      <c r="E17" s="5"/>
      <c r="F17" s="13" t="s">
        <v>30</v>
      </c>
      <c r="G17" s="14">
        <v>4890</v>
      </c>
      <c r="H17" s="15">
        <v>4675</v>
      </c>
    </row>
    <row r="18" spans="1:8" ht="16.5" customHeight="1" x14ac:dyDescent="0.2">
      <c r="A18" s="1"/>
      <c r="B18" s="1"/>
      <c r="C18" s="1"/>
      <c r="D18" s="1"/>
      <c r="E18" s="5"/>
      <c r="F18" s="18" t="s">
        <v>31</v>
      </c>
      <c r="G18" s="19">
        <f>G13+G15+G16+G17</f>
        <v>68270</v>
      </c>
      <c r="H18" s="20">
        <f>H13+H15+H16+H17</f>
        <v>67973</v>
      </c>
    </row>
    <row r="19" spans="1:8" ht="16.5" customHeight="1" x14ac:dyDescent="0.2">
      <c r="A19" s="1"/>
      <c r="B19" s="7" t="s">
        <v>32</v>
      </c>
      <c r="C19" s="8"/>
      <c r="D19" s="8"/>
      <c r="E19" s="5"/>
    </row>
    <row r="20" spans="1:8" ht="16.5" customHeight="1" x14ac:dyDescent="0.2">
      <c r="A20" s="1"/>
      <c r="B20" s="11" t="s">
        <v>33</v>
      </c>
      <c r="C20" s="12">
        <v>5640</v>
      </c>
      <c r="D20" s="12">
        <v>5872</v>
      </c>
      <c r="E20" s="5"/>
      <c r="F20" s="9" t="s">
        <v>34</v>
      </c>
      <c r="G20" s="10"/>
      <c r="H20" s="10"/>
    </row>
    <row r="21" spans="1:8" ht="16.5" customHeight="1" x14ac:dyDescent="0.2">
      <c r="A21" s="1"/>
      <c r="B21" s="11" t="s">
        <v>35</v>
      </c>
      <c r="C21" s="12">
        <v>5302</v>
      </c>
      <c r="D21" s="12">
        <v>5257</v>
      </c>
      <c r="E21" s="5"/>
      <c r="F21" s="13" t="s">
        <v>36</v>
      </c>
      <c r="G21" s="14">
        <v>6941</v>
      </c>
      <c r="H21" s="15">
        <v>6403</v>
      </c>
    </row>
    <row r="22" spans="1:8" ht="16.5" customHeight="1" x14ac:dyDescent="0.2">
      <c r="A22" s="1"/>
      <c r="B22" s="11" t="s">
        <v>35</v>
      </c>
      <c r="C22" s="22">
        <f>SUM(C20:C21)</f>
        <v>10942</v>
      </c>
      <c r="D22" s="22">
        <f>SUM(D20:D21)</f>
        <v>11129</v>
      </c>
      <c r="E22" s="5"/>
      <c r="F22" s="13" t="s">
        <v>37</v>
      </c>
      <c r="G22" s="14">
        <v>-44331</v>
      </c>
      <c r="H22" s="15">
        <v>-36339</v>
      </c>
    </row>
    <row r="23" spans="1:8" ht="16.5" customHeight="1" x14ac:dyDescent="0.2">
      <c r="A23" s="1"/>
      <c r="B23" s="11"/>
      <c r="C23" s="23"/>
      <c r="D23" s="23"/>
      <c r="E23" s="5"/>
      <c r="F23" s="13" t="s">
        <v>38</v>
      </c>
      <c r="G23" s="14">
        <v>59352</v>
      </c>
      <c r="H23" s="15">
        <v>51250</v>
      </c>
    </row>
    <row r="24" spans="1:8" ht="16.5" customHeight="1" x14ac:dyDescent="0.2">
      <c r="A24" s="1"/>
      <c r="B24" s="11"/>
      <c r="C24" s="23"/>
      <c r="D24" s="23"/>
      <c r="E24" s="5"/>
      <c r="F24" s="13" t="s">
        <v>39</v>
      </c>
      <c r="G24" s="14">
        <v>-2471</v>
      </c>
      <c r="H24" s="15">
        <v>-1820</v>
      </c>
    </row>
    <row r="25" spans="1:8" ht="16.5" customHeight="1" x14ac:dyDescent="0.2">
      <c r="A25" s="1"/>
      <c r="B25" s="11"/>
      <c r="C25" s="23"/>
      <c r="D25" s="23"/>
      <c r="E25" s="5"/>
      <c r="F25" s="13" t="s">
        <v>40</v>
      </c>
      <c r="G25" s="14">
        <v>3</v>
      </c>
      <c r="H25" s="15">
        <v>9</v>
      </c>
    </row>
    <row r="26" spans="1:8" ht="16.5" customHeight="1" x14ac:dyDescent="0.2">
      <c r="A26" s="1"/>
      <c r="B26" s="1"/>
      <c r="C26" s="1"/>
      <c r="D26" s="1"/>
      <c r="E26" s="5"/>
      <c r="F26" s="18" t="s">
        <v>41</v>
      </c>
      <c r="G26" s="19">
        <f>SUM(G21:G25)</f>
        <v>19494</v>
      </c>
      <c r="H26" s="20">
        <f>SUM(H21:H25)</f>
        <v>19503</v>
      </c>
    </row>
    <row r="27" spans="1:8" ht="16.5" customHeight="1" x14ac:dyDescent="0.2">
      <c r="A27" s="1"/>
      <c r="B27" s="24" t="s">
        <v>42</v>
      </c>
      <c r="C27" s="25">
        <f>C10+C14+C16+C17+C22</f>
        <v>87764</v>
      </c>
      <c r="D27" s="25">
        <f>D10+D14+D16+D17+D22</f>
        <v>87476</v>
      </c>
      <c r="E27" s="5"/>
    </row>
    <row r="28" spans="1:8" ht="16.5" customHeight="1" x14ac:dyDescent="0.2">
      <c r="A28" s="1"/>
      <c r="B28" s="26" t="s">
        <v>43</v>
      </c>
      <c r="C28" s="27">
        <f>C27-G28</f>
        <v>0</v>
      </c>
      <c r="D28" s="1"/>
      <c r="E28" s="1"/>
      <c r="F28" s="28" t="s">
        <v>44</v>
      </c>
      <c r="G28" s="29">
        <f>G18+G26</f>
        <v>87764</v>
      </c>
      <c r="H28" s="30">
        <f>H18+H26</f>
        <v>87476</v>
      </c>
    </row>
    <row r="29" spans="1:8" ht="16.5" customHeight="1" x14ac:dyDescent="0.2">
      <c r="A29" s="1"/>
      <c r="B29" s="31" t="s">
        <v>45</v>
      </c>
      <c r="C29" s="1"/>
      <c r="D29" s="1"/>
      <c r="E29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6" sqref="D16"/>
    </sheetView>
  </sheetViews>
  <sheetFormatPr baseColWidth="10" defaultColWidth="8.6640625" defaultRowHeight="15" x14ac:dyDescent="0.2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2">
      <c r="A1" s="1"/>
      <c r="B1" s="2" t="s">
        <v>46</v>
      </c>
      <c r="C1" s="1"/>
      <c r="D1" s="1"/>
    </row>
    <row r="2" spans="1:4" ht="18" customHeight="1" x14ac:dyDescent="0.2">
      <c r="A2" s="1"/>
      <c r="B2" s="32" t="s">
        <v>47</v>
      </c>
      <c r="C2" s="32" t="s">
        <v>2</v>
      </c>
      <c r="D2" s="32" t="s">
        <v>48</v>
      </c>
    </row>
    <row r="3" spans="1:4" ht="12" customHeight="1" x14ac:dyDescent="0.2">
      <c r="A3" s="1"/>
      <c r="B3" s="33" t="s">
        <v>5</v>
      </c>
      <c r="C3" s="1"/>
      <c r="D3" s="1"/>
    </row>
    <row r="4" spans="1:4" ht="15" customHeight="1" x14ac:dyDescent="0.2">
      <c r="A4" s="1"/>
      <c r="B4" s="11" t="s">
        <v>49</v>
      </c>
      <c r="C4" s="34">
        <v>64809</v>
      </c>
      <c r="D4" s="35">
        <f t="shared" ref="D4:D19" si="0">IF(C$4=0,0,C4/C$4)</f>
        <v>1</v>
      </c>
    </row>
    <row r="5" spans="1:4" ht="15" customHeight="1" x14ac:dyDescent="0.2">
      <c r="A5" s="1"/>
      <c r="B5" s="11" t="s">
        <v>50</v>
      </c>
      <c r="C5" s="34">
        <v>43244</v>
      </c>
      <c r="D5" s="35">
        <f t="shared" si="0"/>
        <v>0.66725300498387574</v>
      </c>
    </row>
    <row r="6" spans="1:4" ht="15" customHeight="1" x14ac:dyDescent="0.2">
      <c r="A6" s="1"/>
      <c r="B6" s="11" t="s">
        <v>51</v>
      </c>
      <c r="C6" s="36">
        <v>5965</v>
      </c>
      <c r="D6" s="35">
        <f t="shared" si="0"/>
        <v>9.2039685846101615E-2</v>
      </c>
    </row>
    <row r="7" spans="1:4" ht="15" customHeight="1" x14ac:dyDescent="0.2">
      <c r="A7" s="1"/>
      <c r="B7" s="11" t="s">
        <v>52</v>
      </c>
      <c r="C7" s="34">
        <v>1413</v>
      </c>
      <c r="D7" s="37">
        <f t="shared" si="0"/>
        <v>2.1802527426746286E-2</v>
      </c>
    </row>
    <row r="8" spans="1:4" ht="15" customHeight="1" x14ac:dyDescent="0.2">
      <c r="A8" s="1"/>
      <c r="B8" s="16" t="s">
        <v>53</v>
      </c>
      <c r="C8" s="38">
        <f>C4-C5-C6-C7</f>
        <v>14187</v>
      </c>
      <c r="D8" s="35">
        <f t="shared" si="0"/>
        <v>0.21890478174327641</v>
      </c>
    </row>
    <row r="9" spans="1:4" ht="6" customHeight="1" x14ac:dyDescent="0.2">
      <c r="A9" s="1"/>
      <c r="B9" s="1"/>
      <c r="C9" s="1"/>
      <c r="D9" s="39">
        <f t="shared" si="0"/>
        <v>0</v>
      </c>
    </row>
    <row r="10" spans="1:4" ht="15" customHeight="1" x14ac:dyDescent="0.2">
      <c r="A10" s="1"/>
      <c r="B10" s="11" t="s">
        <v>54</v>
      </c>
      <c r="C10" s="34">
        <v>2116</v>
      </c>
      <c r="D10" s="35">
        <f t="shared" si="0"/>
        <v>3.264978629511333E-2</v>
      </c>
    </row>
    <row r="11" spans="1:4" ht="15" customHeight="1" x14ac:dyDescent="0.2">
      <c r="A11" s="1"/>
      <c r="B11" s="11" t="s">
        <v>55</v>
      </c>
      <c r="C11" s="34">
        <v>1713</v>
      </c>
      <c r="D11" s="37">
        <f t="shared" si="0"/>
        <v>2.6431514141554414E-2</v>
      </c>
    </row>
    <row r="12" spans="1:4" ht="15" customHeight="1" x14ac:dyDescent="0.2">
      <c r="A12" s="1"/>
      <c r="B12" s="16" t="s">
        <v>56</v>
      </c>
      <c r="C12" s="36">
        <f>C8+C10-C11</f>
        <v>14590</v>
      </c>
      <c r="D12" s="35">
        <f t="shared" si="0"/>
        <v>0.22512305389683532</v>
      </c>
    </row>
    <row r="13" spans="1:4" ht="6" customHeight="1" x14ac:dyDescent="0.2">
      <c r="A13" s="1"/>
      <c r="B13" s="1"/>
      <c r="C13" s="1"/>
      <c r="D13" s="39">
        <f t="shared" si="0"/>
        <v>0</v>
      </c>
    </row>
    <row r="14" spans="1:4" ht="15" customHeight="1" x14ac:dyDescent="0.2">
      <c r="A14" s="1"/>
      <c r="B14" s="11" t="s">
        <v>57</v>
      </c>
      <c r="C14" s="34">
        <v>2944</v>
      </c>
      <c r="D14" s="37">
        <f t="shared" si="0"/>
        <v>4.542578962798377E-2</v>
      </c>
    </row>
    <row r="15" spans="1:4" ht="15" customHeight="1" x14ac:dyDescent="0.2">
      <c r="A15" s="1"/>
      <c r="B15" s="16" t="s">
        <v>58</v>
      </c>
      <c r="C15" s="36">
        <f>C12-C14</f>
        <v>11646</v>
      </c>
      <c r="D15" s="35">
        <f t="shared" si="0"/>
        <v>0.17969726426885155</v>
      </c>
    </row>
    <row r="16" spans="1:4" ht="6" customHeight="1" x14ac:dyDescent="0.2">
      <c r="A16" s="1"/>
      <c r="B16" s="1"/>
      <c r="C16" s="1"/>
      <c r="D16" s="39">
        <f t="shared" si="0"/>
        <v>0</v>
      </c>
    </row>
    <row r="17" spans="1:4" ht="15.75" customHeight="1" x14ac:dyDescent="0.2">
      <c r="A17" s="1"/>
      <c r="B17" s="7" t="s">
        <v>59</v>
      </c>
      <c r="C17" s="40">
        <f>C15-C16</f>
        <v>11646</v>
      </c>
      <c r="D17" s="39">
        <f t="shared" si="0"/>
        <v>0.17969726426885155</v>
      </c>
    </row>
    <row r="18" spans="1:4" ht="15" customHeight="1" x14ac:dyDescent="0.2">
      <c r="A18" s="1"/>
      <c r="B18" s="11" t="s">
        <v>60</v>
      </c>
      <c r="C18" s="34">
        <v>2736</v>
      </c>
      <c r="D18" s="35">
        <f t="shared" si="0"/>
        <v>4.221635883905013E-2</v>
      </c>
    </row>
    <row r="19" spans="1:4" ht="15" customHeight="1" x14ac:dyDescent="0.2">
      <c r="A19" s="1"/>
      <c r="B19" s="11" t="s">
        <v>61</v>
      </c>
      <c r="C19" s="36">
        <f>C17-C18</f>
        <v>8910</v>
      </c>
      <c r="D19" s="35">
        <f t="shared" si="0"/>
        <v>0.1374809054298014</v>
      </c>
    </row>
    <row r="20" spans="1:4" ht="16.5" customHeight="1" x14ac:dyDescent="0.2">
      <c r="A20" s="1"/>
      <c r="B20" s="1"/>
      <c r="C20" s="1"/>
      <c r="D20" s="1"/>
    </row>
    <row r="21" spans="1:4" ht="15" customHeight="1" x14ac:dyDescent="0.2">
      <c r="A21" s="1"/>
      <c r="B21" s="33" t="s">
        <v>45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5" sqref="B25"/>
    </sheetView>
  </sheetViews>
  <sheetFormatPr baseColWidth="10" defaultColWidth="8.6640625" defaultRowHeight="15" x14ac:dyDescent="0.2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2">
      <c r="A1" s="1"/>
      <c r="B1" s="2" t="s">
        <v>62</v>
      </c>
      <c r="C1" s="1"/>
      <c r="D1" s="1"/>
    </row>
    <row r="2" spans="1:4" ht="18" customHeight="1" x14ac:dyDescent="0.2">
      <c r="A2" s="1"/>
      <c r="B2" s="32" t="s">
        <v>47</v>
      </c>
      <c r="C2" s="32" t="s">
        <v>2</v>
      </c>
      <c r="D2" s="32" t="s">
        <v>63</v>
      </c>
    </row>
    <row r="3" spans="1:4" ht="12" customHeight="1" x14ac:dyDescent="0.2">
      <c r="A3" s="1"/>
      <c r="B3" s="33" t="s">
        <v>5</v>
      </c>
      <c r="C3" s="1"/>
      <c r="D3" s="1"/>
    </row>
    <row r="4" spans="1:4" ht="15.75" customHeight="1" x14ac:dyDescent="0.2">
      <c r="A4" s="1"/>
      <c r="B4" s="7" t="s">
        <v>64</v>
      </c>
      <c r="C4" s="8"/>
      <c r="D4" s="8"/>
    </row>
    <row r="5" spans="1:4" ht="15" customHeight="1" x14ac:dyDescent="0.2">
      <c r="A5" s="1"/>
      <c r="B5" s="11" t="s">
        <v>58</v>
      </c>
      <c r="C5" s="34">
        <v>11646</v>
      </c>
      <c r="D5" s="41" t="s">
        <v>65</v>
      </c>
    </row>
    <row r="6" spans="1:4" ht="15" customHeight="1" x14ac:dyDescent="0.2">
      <c r="A6" s="1"/>
      <c r="B6" s="11" t="s">
        <v>66</v>
      </c>
      <c r="C6" s="34">
        <v>1413</v>
      </c>
      <c r="D6" s="41" t="s">
        <v>65</v>
      </c>
    </row>
    <row r="7" spans="1:4" ht="15" customHeight="1" x14ac:dyDescent="0.2">
      <c r="A7" s="1"/>
      <c r="B7" s="11" t="s">
        <v>67</v>
      </c>
      <c r="C7" s="34"/>
      <c r="D7" s="41"/>
    </row>
    <row r="8" spans="1:4" ht="15" customHeight="1" x14ac:dyDescent="0.2">
      <c r="A8" s="1"/>
      <c r="B8" s="11" t="s">
        <v>68</v>
      </c>
      <c r="C8" s="34">
        <f>-('Balance Sheet'!C6-'Balance Sheet'!D6)</f>
        <v>28</v>
      </c>
      <c r="D8" s="41" t="s">
        <v>69</v>
      </c>
    </row>
    <row r="9" spans="1:4" ht="15" customHeight="1" x14ac:dyDescent="0.2">
      <c r="A9" s="1"/>
      <c r="B9" s="11" t="s">
        <v>70</v>
      </c>
      <c r="C9" s="34">
        <f>-('Balance Sheet'!C8-'Balance Sheet'!D8)</f>
        <v>-262</v>
      </c>
      <c r="D9" s="41" t="s">
        <v>69</v>
      </c>
    </row>
    <row r="10" spans="1:4" ht="15" customHeight="1" x14ac:dyDescent="0.2">
      <c r="A10" s="1"/>
      <c r="B10" s="11" t="s">
        <v>71</v>
      </c>
      <c r="C10" s="34">
        <f>-('Balance Sheet'!C9-'Balance Sheet'!D9)</f>
        <v>1467</v>
      </c>
      <c r="D10" s="41" t="s">
        <v>69</v>
      </c>
    </row>
    <row r="11" spans="1:4" ht="15" customHeight="1" x14ac:dyDescent="0.2">
      <c r="A11" s="1"/>
      <c r="B11" s="11" t="s">
        <v>72</v>
      </c>
      <c r="C11" s="34">
        <f>'Balance Sheet'!G6-'Balance Sheet'!H6</f>
        <v>-231</v>
      </c>
      <c r="D11" s="41" t="s">
        <v>69</v>
      </c>
    </row>
    <row r="12" spans="1:4" ht="15" customHeight="1" x14ac:dyDescent="0.2">
      <c r="A12" s="1"/>
      <c r="B12" s="11" t="s">
        <v>73</v>
      </c>
      <c r="C12" s="34">
        <f>SUM('Balance Sheet'!G7:G11)-SUM('Balance Sheet'!H7:H11)</f>
        <v>123</v>
      </c>
      <c r="D12" s="41" t="s">
        <v>69</v>
      </c>
    </row>
    <row r="13" spans="1:4" ht="15" customHeight="1" x14ac:dyDescent="0.2">
      <c r="A13" s="1"/>
      <c r="B13" s="16" t="s">
        <v>74</v>
      </c>
      <c r="C13" s="36">
        <f>SUM(C8:C12)</f>
        <v>1125</v>
      </c>
      <c r="D13" s="41"/>
    </row>
    <row r="14" spans="1:4" ht="15" customHeight="1" x14ac:dyDescent="0.2">
      <c r="A14" s="1"/>
      <c r="B14" s="16" t="s">
        <v>75</v>
      </c>
      <c r="C14" s="36">
        <f>C5+C6+C13</f>
        <v>14184</v>
      </c>
      <c r="D14" s="41"/>
    </row>
    <row r="15" spans="1:4" ht="6" customHeight="1" x14ac:dyDescent="0.2">
      <c r="A15" s="1"/>
      <c r="B15" s="1"/>
      <c r="C15" s="1"/>
      <c r="D15" s="1"/>
    </row>
    <row r="16" spans="1:4" ht="15.75" customHeight="1" x14ac:dyDescent="0.2">
      <c r="A16" s="1"/>
      <c r="B16" s="7" t="s">
        <v>76</v>
      </c>
      <c r="C16" s="8"/>
      <c r="D16" s="8"/>
    </row>
    <row r="17" spans="1:4" ht="15" customHeight="1" x14ac:dyDescent="0.2">
      <c r="A17" s="1"/>
      <c r="B17" s="11" t="s">
        <v>77</v>
      </c>
      <c r="C17" s="34">
        <v>-1702</v>
      </c>
      <c r="D17" s="41"/>
    </row>
    <row r="18" spans="1:4" ht="15" customHeight="1" x14ac:dyDescent="0.2">
      <c r="A18" s="1"/>
      <c r="B18" s="11" t="s">
        <v>78</v>
      </c>
      <c r="C18" s="34">
        <v>298</v>
      </c>
      <c r="D18" s="41"/>
    </row>
    <row r="19" spans="1:4" ht="15" customHeight="1" x14ac:dyDescent="0.2">
      <c r="A19" s="1"/>
      <c r="B19" s="11" t="s">
        <v>79</v>
      </c>
      <c r="C19" s="34">
        <v>-782</v>
      </c>
      <c r="D19" s="41"/>
    </row>
    <row r="20" spans="1:4" ht="15" customHeight="1" x14ac:dyDescent="0.2">
      <c r="A20" s="1"/>
      <c r="B20" s="16" t="s">
        <v>80</v>
      </c>
      <c r="C20" s="36">
        <f>SUM(C17:C19)</f>
        <v>-2186</v>
      </c>
      <c r="D20" s="41"/>
    </row>
    <row r="21" spans="1:4" ht="6" customHeight="1" x14ac:dyDescent="0.2">
      <c r="A21" s="1"/>
      <c r="B21" s="1"/>
      <c r="C21" s="1"/>
      <c r="D21" s="1"/>
    </row>
    <row r="22" spans="1:4" ht="15.75" customHeight="1" x14ac:dyDescent="0.2">
      <c r="A22" s="1"/>
      <c r="B22" s="7" t="s">
        <v>81</v>
      </c>
      <c r="C22" s="8"/>
      <c r="D22" s="8"/>
    </row>
    <row r="23" spans="1:4" ht="15" customHeight="1" x14ac:dyDescent="0.2">
      <c r="A23" s="1"/>
      <c r="B23" s="11" t="s">
        <v>82</v>
      </c>
      <c r="C23" s="34">
        <v>689</v>
      </c>
      <c r="D23" s="41"/>
    </row>
    <row r="24" spans="1:4" ht="15" customHeight="1" x14ac:dyDescent="0.2">
      <c r="A24" s="1"/>
      <c r="B24" s="11" t="s">
        <v>83</v>
      </c>
      <c r="C24" s="34">
        <v>-61</v>
      </c>
      <c r="D24" s="41"/>
    </row>
    <row r="25" spans="1:4" ht="15" customHeight="1" x14ac:dyDescent="0.2">
      <c r="A25" s="1"/>
      <c r="B25" s="11" t="s">
        <v>84</v>
      </c>
      <c r="C25" s="34">
        <v>-2736</v>
      </c>
      <c r="D25" s="41"/>
    </row>
    <row r="26" spans="1:4" ht="15" customHeight="1" x14ac:dyDescent="0.2">
      <c r="A26" s="1"/>
      <c r="B26" s="11" t="s">
        <v>85</v>
      </c>
      <c r="C26" s="34">
        <v>-7839</v>
      </c>
      <c r="D26" s="41"/>
    </row>
    <row r="27" spans="1:4" ht="15" customHeight="1" x14ac:dyDescent="0.2">
      <c r="A27" s="1"/>
      <c r="B27" s="11" t="s">
        <v>86</v>
      </c>
      <c r="C27" s="34">
        <v>-327</v>
      </c>
      <c r="D27" s="41"/>
    </row>
    <row r="28" spans="1:4" ht="15" customHeight="1" x14ac:dyDescent="0.2">
      <c r="A28" s="1"/>
      <c r="B28" s="16" t="s">
        <v>87</v>
      </c>
      <c r="C28" s="36">
        <f>SUM(C23:C27)</f>
        <v>-10274</v>
      </c>
      <c r="D28" s="41"/>
    </row>
    <row r="29" spans="1:4" ht="6" customHeight="1" x14ac:dyDescent="0.2">
      <c r="A29" s="1"/>
      <c r="B29" s="1"/>
      <c r="C29" s="1"/>
      <c r="D29" s="1"/>
    </row>
    <row r="30" spans="1:4" ht="15" customHeight="1" x14ac:dyDescent="0.2">
      <c r="A30" s="1"/>
      <c r="B30" s="16" t="s">
        <v>88</v>
      </c>
      <c r="C30" s="36">
        <f>C14+C20+C28</f>
        <v>1724</v>
      </c>
      <c r="D30" s="41"/>
    </row>
    <row r="31" spans="1:4" ht="16.5" customHeight="1" x14ac:dyDescent="0.2">
      <c r="A31" s="1"/>
      <c r="B31" s="1"/>
      <c r="C31" s="1"/>
      <c r="D31" s="1"/>
    </row>
    <row r="32" spans="1:4" ht="15" customHeight="1" x14ac:dyDescent="0.2">
      <c r="A32" s="1"/>
      <c r="B32" s="33" t="s">
        <v>45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zoomScaleNormal="100" workbookViewId="0">
      <pane xSplit="1" ySplit="2" topLeftCell="B3" activePane="bottomRight" state="frozen"/>
      <selection pane="topRight" activeCell="B1" sqref="B1"/>
      <selection pane="bottomLeft" activeCell="A82" sqref="A82"/>
      <selection pane="bottomRight" activeCell="D26" sqref="D26"/>
    </sheetView>
  </sheetViews>
  <sheetFormatPr baseColWidth="10" defaultColWidth="8.6640625" defaultRowHeight="15" x14ac:dyDescent="0.2"/>
  <cols>
    <col min="1" max="1" width="2" customWidth="1"/>
    <col min="2" max="2" width="38" customWidth="1"/>
    <col min="3" max="3" width="28" customWidth="1"/>
    <col min="4" max="4" width="52" customWidth="1"/>
    <col min="5" max="5" width="28" customWidth="1"/>
  </cols>
  <sheetData>
    <row r="1" spans="1:5" ht="21.75" customHeight="1" x14ac:dyDescent="0.2">
      <c r="A1" s="1"/>
      <c r="B1" s="2" t="s">
        <v>89</v>
      </c>
      <c r="C1" s="1"/>
      <c r="D1" s="1"/>
      <c r="E1" s="1"/>
    </row>
    <row r="2" spans="1:5" ht="18" customHeight="1" x14ac:dyDescent="0.2">
      <c r="A2" s="1"/>
      <c r="B2" s="32" t="s">
        <v>90</v>
      </c>
      <c r="C2" s="32" t="s">
        <v>91</v>
      </c>
      <c r="D2" s="32" t="s">
        <v>92</v>
      </c>
      <c r="E2" s="32" t="s">
        <v>93</v>
      </c>
    </row>
    <row r="3" spans="1:5" ht="15" customHeight="1" x14ac:dyDescent="0.2">
      <c r="A3" s="1"/>
      <c r="B3" s="11" t="s">
        <v>94</v>
      </c>
      <c r="C3" s="42">
        <v>2024</v>
      </c>
      <c r="D3" s="43"/>
      <c r="E3" s="44" t="s">
        <v>95</v>
      </c>
    </row>
    <row r="4" spans="1:5" ht="15" customHeight="1" x14ac:dyDescent="0.2">
      <c r="A4" s="1"/>
      <c r="B4" s="11" t="s">
        <v>96</v>
      </c>
      <c r="C4" s="42">
        <v>2023</v>
      </c>
      <c r="D4" s="43" t="s">
        <v>97</v>
      </c>
      <c r="E4" s="44" t="s">
        <v>98</v>
      </c>
    </row>
    <row r="5" spans="1:5" ht="15" customHeight="1" x14ac:dyDescent="0.2">
      <c r="A5" s="1"/>
      <c r="B5" s="11" t="s">
        <v>99</v>
      </c>
      <c r="C5" s="42">
        <v>349.58</v>
      </c>
      <c r="D5" s="43"/>
      <c r="E5" s="44" t="s">
        <v>100</v>
      </c>
    </row>
    <row r="6" spans="1:5" ht="15" customHeight="1" x14ac:dyDescent="0.2">
      <c r="A6" s="1"/>
      <c r="B6" s="11" t="s">
        <v>101</v>
      </c>
      <c r="C6" s="42">
        <v>492</v>
      </c>
      <c r="D6" s="43"/>
      <c r="E6" s="44" t="s">
        <v>102</v>
      </c>
    </row>
    <row r="7" spans="1:5" ht="15" customHeight="1" x14ac:dyDescent="0.2">
      <c r="A7" s="1"/>
      <c r="B7" s="11" t="s">
        <v>103</v>
      </c>
      <c r="C7" s="42">
        <v>7.9000000000000001E-2</v>
      </c>
      <c r="D7" s="43"/>
      <c r="E7" s="44" t="s">
        <v>104</v>
      </c>
    </row>
    <row r="8" spans="1:5" ht="15" customHeight="1" x14ac:dyDescent="0.2">
      <c r="A8" s="1"/>
      <c r="B8" s="11" t="s">
        <v>105</v>
      </c>
      <c r="C8" s="42">
        <v>0.214</v>
      </c>
      <c r="D8" s="43"/>
      <c r="E8" s="44" t="s">
        <v>106</v>
      </c>
    </row>
    <row r="9" spans="1:5" ht="15" customHeight="1" x14ac:dyDescent="0.2">
      <c r="A9" s="1"/>
      <c r="B9" s="11" t="s">
        <v>107</v>
      </c>
      <c r="C9" s="45">
        <f>C5*C6</f>
        <v>171993.36</v>
      </c>
      <c r="D9" s="43" t="s">
        <v>108</v>
      </c>
      <c r="E9" s="44" t="s">
        <v>109</v>
      </c>
    </row>
    <row r="10" spans="1:5" ht="6" customHeight="1" x14ac:dyDescent="0.2">
      <c r="A10" s="1"/>
      <c r="B10" s="1"/>
      <c r="C10" s="1"/>
      <c r="D10" s="1"/>
      <c r="E10" s="1"/>
    </row>
    <row r="11" spans="1:5" ht="15.75" customHeight="1" x14ac:dyDescent="0.2">
      <c r="A11" s="1"/>
      <c r="B11" s="7" t="s">
        <v>110</v>
      </c>
      <c r="C11" s="8"/>
      <c r="D11" s="8"/>
      <c r="E11" s="8"/>
    </row>
    <row r="12" spans="1:5" ht="15" customHeight="1" x14ac:dyDescent="0.2">
      <c r="A12" s="1"/>
      <c r="B12" s="11" t="s">
        <v>111</v>
      </c>
      <c r="C12" s="36">
        <f>'Balance Sheet'!H26</f>
        <v>19503</v>
      </c>
      <c r="D12" s="43" t="s">
        <v>112</v>
      </c>
      <c r="E12" s="44" t="s">
        <v>113</v>
      </c>
    </row>
    <row r="13" spans="1:5" ht="15" customHeight="1" x14ac:dyDescent="0.2">
      <c r="A13" s="1"/>
      <c r="B13" s="11" t="s">
        <v>114</v>
      </c>
      <c r="C13" s="36">
        <f>'Balance Sheet'!D8</f>
        <v>16565</v>
      </c>
      <c r="D13" s="43" t="s">
        <v>115</v>
      </c>
      <c r="E13" s="44" t="s">
        <v>116</v>
      </c>
    </row>
    <row r="14" spans="1:5" ht="15" customHeight="1" x14ac:dyDescent="0.2">
      <c r="A14" s="1"/>
      <c r="B14" s="11" t="s">
        <v>117</v>
      </c>
      <c r="C14" s="36">
        <f>'Balance Sheet'!D6</f>
        <v>9310</v>
      </c>
      <c r="D14" s="43" t="s">
        <v>118</v>
      </c>
      <c r="E14" s="44" t="s">
        <v>119</v>
      </c>
    </row>
    <row r="15" spans="1:5" ht="15" customHeight="1" x14ac:dyDescent="0.2">
      <c r="A15" s="1"/>
      <c r="B15" s="11" t="s">
        <v>120</v>
      </c>
      <c r="C15" s="36">
        <f>'Balance Sheet'!D27</f>
        <v>87476</v>
      </c>
      <c r="D15" s="43" t="s">
        <v>121</v>
      </c>
      <c r="E15" s="44" t="s">
        <v>122</v>
      </c>
    </row>
    <row r="16" spans="1:5" ht="15" customHeight="1" x14ac:dyDescent="0.2">
      <c r="A16" s="1"/>
      <c r="B16" s="11" t="s">
        <v>123</v>
      </c>
      <c r="C16" s="36">
        <f>'Balance Sheet'!H15+'Balance Sheet'!H26</f>
        <v>43975</v>
      </c>
      <c r="D16" s="43" t="s">
        <v>124</v>
      </c>
      <c r="E16" s="44" t="s">
        <v>125</v>
      </c>
    </row>
    <row r="17" spans="1:5" ht="6" customHeight="1" x14ac:dyDescent="0.2">
      <c r="A17" s="1"/>
      <c r="B17" s="1"/>
      <c r="C17" s="1"/>
      <c r="D17" s="1"/>
      <c r="E17" s="1"/>
    </row>
    <row r="18" spans="1:5" ht="15.75" customHeight="1" x14ac:dyDescent="0.2">
      <c r="A18" s="1"/>
      <c r="B18" s="7" t="s">
        <v>126</v>
      </c>
      <c r="C18" s="8"/>
      <c r="D18" s="8"/>
      <c r="E18" s="8"/>
    </row>
    <row r="19" spans="1:5" ht="15" customHeight="1" x14ac:dyDescent="0.2">
      <c r="A19" s="1"/>
      <c r="B19" s="11" t="s">
        <v>127</v>
      </c>
      <c r="C19" s="46">
        <f>'Income Statement'!C15+(1-C8)*'Income Statement'!C11</f>
        <v>12992.418</v>
      </c>
      <c r="D19" s="43" t="s">
        <v>128</v>
      </c>
      <c r="E19" s="44" t="s">
        <v>129</v>
      </c>
    </row>
    <row r="20" spans="1:5" ht="15" customHeight="1" x14ac:dyDescent="0.2">
      <c r="A20" s="1"/>
      <c r="B20" s="11" t="s">
        <v>130</v>
      </c>
      <c r="C20" s="45">
        <f>'Income Statement'!C4/365</f>
        <v>177.55890410958904</v>
      </c>
      <c r="D20" s="43" t="s">
        <v>131</v>
      </c>
      <c r="E20" s="44" t="s">
        <v>132</v>
      </c>
    </row>
    <row r="21" spans="1:5" ht="15" customHeight="1" x14ac:dyDescent="0.2">
      <c r="A21" s="1"/>
      <c r="B21" s="11" t="s">
        <v>133</v>
      </c>
      <c r="C21" s="36">
        <f>'Balance Sheet'!G26</f>
        <v>19494</v>
      </c>
      <c r="D21" s="43" t="s">
        <v>134</v>
      </c>
      <c r="E21" s="44" t="s">
        <v>135</v>
      </c>
    </row>
    <row r="22" spans="1:5" ht="15" customHeight="1" x14ac:dyDescent="0.2">
      <c r="A22" s="1"/>
      <c r="B22" s="11" t="s">
        <v>136</v>
      </c>
      <c r="C22" s="36">
        <f>'Balance Sheet'!C5</f>
        <v>6889</v>
      </c>
      <c r="D22" s="43" t="s">
        <v>137</v>
      </c>
      <c r="E22" s="44" t="s">
        <v>138</v>
      </c>
    </row>
    <row r="23" spans="1:5" ht="15" customHeight="1" x14ac:dyDescent="0.2">
      <c r="A23" s="1"/>
      <c r="B23" s="11" t="s">
        <v>139</v>
      </c>
      <c r="C23" s="36">
        <f>'Balance Sheet'!C10</f>
        <v>45682</v>
      </c>
      <c r="D23" s="43" t="s">
        <v>140</v>
      </c>
      <c r="E23" s="44" t="s">
        <v>141</v>
      </c>
    </row>
    <row r="24" spans="1:5" ht="15" customHeight="1" x14ac:dyDescent="0.2">
      <c r="A24" s="1"/>
      <c r="B24" s="11" t="s">
        <v>142</v>
      </c>
      <c r="C24" s="36">
        <f>'Balance Sheet'!G13</f>
        <v>32272</v>
      </c>
      <c r="D24" s="43" t="s">
        <v>143</v>
      </c>
      <c r="E24" s="44" t="s">
        <v>144</v>
      </c>
    </row>
    <row r="25" spans="1:5" ht="15" customHeight="1" x14ac:dyDescent="0.2">
      <c r="A25" s="1"/>
      <c r="B25" s="11" t="s">
        <v>145</v>
      </c>
      <c r="C25" s="45">
        <f>'Income Statement'!C5/365</f>
        <v>118.47671232876712</v>
      </c>
      <c r="D25" s="43" t="s">
        <v>146</v>
      </c>
      <c r="E25" s="44" t="s">
        <v>147</v>
      </c>
    </row>
    <row r="26" spans="1:5" ht="15" customHeight="1" x14ac:dyDescent="0.2">
      <c r="A26" s="1"/>
      <c r="B26" s="11" t="s">
        <v>148</v>
      </c>
      <c r="C26" s="36">
        <f>'Balance Sheet'!G15</f>
        <v>27351</v>
      </c>
      <c r="D26" s="43" t="s">
        <v>149</v>
      </c>
      <c r="E26" s="44" t="s">
        <v>150</v>
      </c>
    </row>
    <row r="27" spans="1:5" ht="15" customHeight="1" x14ac:dyDescent="0.2">
      <c r="A27" s="1"/>
      <c r="B27" s="11" t="s">
        <v>151</v>
      </c>
      <c r="C27" s="36">
        <f>'Balance Sheet'!C10-'Balance Sheet'!G13</f>
        <v>13410</v>
      </c>
      <c r="D27" s="43" t="s">
        <v>152</v>
      </c>
      <c r="E27" s="44" t="s">
        <v>153</v>
      </c>
    </row>
    <row r="28" spans="1:5" ht="15" customHeight="1" x14ac:dyDescent="0.2">
      <c r="A28" s="1"/>
      <c r="B28" s="11" t="s">
        <v>154</v>
      </c>
      <c r="C28" s="36">
        <f>'Balance Sheet'!C27</f>
        <v>87764</v>
      </c>
      <c r="D28" s="43" t="s">
        <v>155</v>
      </c>
      <c r="E28" s="44" t="s">
        <v>156</v>
      </c>
    </row>
    <row r="29" spans="1:5" ht="15" customHeight="1" x14ac:dyDescent="0.2">
      <c r="A29" s="1"/>
      <c r="B29" s="11" t="s">
        <v>157</v>
      </c>
      <c r="C29" s="36">
        <f>'Balance Sheet'!G15+'Balance Sheet'!G26</f>
        <v>46845</v>
      </c>
      <c r="D29" s="43" t="s">
        <v>158</v>
      </c>
      <c r="E29" s="44" t="s">
        <v>159</v>
      </c>
    </row>
    <row r="30" spans="1:5" ht="15" customHeight="1" x14ac:dyDescent="0.2">
      <c r="A30" s="1"/>
      <c r="B30" s="11" t="s">
        <v>160</v>
      </c>
      <c r="C30" s="36">
        <f>'Balance Sheet'!G18</f>
        <v>68270</v>
      </c>
      <c r="D30" s="43" t="s">
        <v>161</v>
      </c>
      <c r="E30" s="44" t="s">
        <v>162</v>
      </c>
    </row>
    <row r="31" spans="1:5" ht="6" customHeight="1" x14ac:dyDescent="0.2">
      <c r="A31" s="1"/>
      <c r="B31" s="1"/>
      <c r="C31" s="1"/>
      <c r="D31" s="1"/>
      <c r="E31" s="1"/>
    </row>
    <row r="32" spans="1:5" ht="15.75" customHeight="1" x14ac:dyDescent="0.2">
      <c r="A32" s="1"/>
      <c r="B32" s="7" t="s">
        <v>163</v>
      </c>
      <c r="C32" s="8"/>
      <c r="D32" s="8"/>
      <c r="E32" s="8"/>
    </row>
    <row r="33" spans="1:5" ht="15" customHeight="1" x14ac:dyDescent="0.2">
      <c r="A33" s="1"/>
      <c r="B33" s="11" t="s">
        <v>164</v>
      </c>
      <c r="C33" s="36">
        <f>AVERAGE(C12,C21)</f>
        <v>19498.5</v>
      </c>
      <c r="D33" s="43" t="s">
        <v>165</v>
      </c>
      <c r="E33" s="44" t="s">
        <v>166</v>
      </c>
    </row>
    <row r="34" spans="1:5" ht="15" customHeight="1" x14ac:dyDescent="0.2">
      <c r="A34" s="1"/>
      <c r="B34" s="11" t="s">
        <v>167</v>
      </c>
      <c r="C34" s="36">
        <f>AVERAGE(C15,C28)</f>
        <v>87620</v>
      </c>
      <c r="D34" s="43" t="s">
        <v>168</v>
      </c>
      <c r="E34" s="44" t="s">
        <v>169</v>
      </c>
    </row>
    <row r="35" spans="1:5" ht="15" customHeight="1" x14ac:dyDescent="0.2">
      <c r="A35" s="1"/>
      <c r="B35" s="11" t="s">
        <v>170</v>
      </c>
      <c r="C35" s="36">
        <f>AVERAGE(C16,C29)</f>
        <v>45410</v>
      </c>
      <c r="D35" s="43" t="s">
        <v>171</v>
      </c>
      <c r="E35" s="44" t="s">
        <v>172</v>
      </c>
    </row>
    <row r="36" spans="1:5" ht="15" customHeight="1" x14ac:dyDescent="0.2">
      <c r="A36" s="1"/>
      <c r="B36" s="11" t="s">
        <v>173</v>
      </c>
      <c r="C36" s="36">
        <f>C26+C21</f>
        <v>46845</v>
      </c>
      <c r="D36" s="43" t="s">
        <v>174</v>
      </c>
      <c r="E36" s="44" t="s">
        <v>175</v>
      </c>
    </row>
    <row r="37" spans="1:5" ht="6" customHeight="1" x14ac:dyDescent="0.2">
      <c r="A37" s="1"/>
      <c r="B37" s="1"/>
      <c r="C37" s="1"/>
      <c r="D37" s="1"/>
      <c r="E37" s="1"/>
    </row>
    <row r="38" spans="1:5" ht="6" customHeight="1" x14ac:dyDescent="0.2">
      <c r="A38" s="1"/>
      <c r="B38" s="1"/>
      <c r="C38" s="1"/>
      <c r="D38" s="1"/>
      <c r="E38" s="1"/>
    </row>
    <row r="39" spans="1:5" ht="18" customHeight="1" x14ac:dyDescent="0.2">
      <c r="A39" s="1"/>
      <c r="B39" s="32" t="s">
        <v>176</v>
      </c>
      <c r="C39" s="32" t="s">
        <v>177</v>
      </c>
      <c r="D39" s="32" t="s">
        <v>178</v>
      </c>
      <c r="E39" s="32" t="s">
        <v>93</v>
      </c>
    </row>
    <row r="40" spans="1:5" ht="15.75" customHeight="1" x14ac:dyDescent="0.2">
      <c r="A40" s="1"/>
      <c r="B40" s="7" t="s">
        <v>179</v>
      </c>
      <c r="C40" s="8"/>
      <c r="D40" s="8"/>
      <c r="E40" s="8"/>
    </row>
    <row r="41" spans="1:5" ht="15" customHeight="1" x14ac:dyDescent="0.2">
      <c r="A41" s="1"/>
      <c r="B41" s="11" t="s">
        <v>180</v>
      </c>
      <c r="C41" s="47">
        <f>market_capitalization-currentYear_equity</f>
        <v>152499.35999999999</v>
      </c>
      <c r="D41" s="43" t="s">
        <v>181</v>
      </c>
      <c r="E41" s="44"/>
    </row>
    <row r="42" spans="1:5" ht="15" customHeight="1" x14ac:dyDescent="0.2">
      <c r="A42" s="1"/>
      <c r="B42" s="11" t="s">
        <v>182</v>
      </c>
      <c r="C42" s="48">
        <f>market_capitalization/currentYear_equity</f>
        <v>8.8228870421668191</v>
      </c>
      <c r="D42" s="43" t="s">
        <v>183</v>
      </c>
      <c r="E42" s="44"/>
    </row>
    <row r="43" spans="1:5" ht="15" customHeight="1" x14ac:dyDescent="0.2">
      <c r="A43" s="1"/>
      <c r="B43" s="11" t="s">
        <v>184</v>
      </c>
      <c r="C43" s="47">
        <f>currentYear_after_tax_operating_income-(cost_capital*startYear_total_capitalization)</f>
        <v>9518.393</v>
      </c>
      <c r="D43" s="43" t="s">
        <v>185</v>
      </c>
      <c r="E43" s="44"/>
    </row>
    <row r="44" spans="1:5" ht="6" customHeight="1" x14ac:dyDescent="0.2">
      <c r="A44" s="1"/>
      <c r="B44" s="1"/>
      <c r="C44" s="1"/>
      <c r="D44" s="1"/>
      <c r="E44" s="1"/>
    </row>
    <row r="45" spans="1:5" ht="15.75" customHeight="1" x14ac:dyDescent="0.2">
      <c r="A45" s="1"/>
      <c r="B45" s="7" t="s">
        <v>186</v>
      </c>
      <c r="C45" s="8"/>
      <c r="D45" s="8"/>
      <c r="E45" s="8"/>
    </row>
    <row r="46" spans="1:5" ht="15" customHeight="1" x14ac:dyDescent="0.2">
      <c r="A46" s="1"/>
      <c r="B46" s="11" t="s">
        <v>187</v>
      </c>
      <c r="C46" s="49">
        <f>currentYear_after_tax_operating_income/startYear_total_assets</f>
        <v>0.14852551556998492</v>
      </c>
      <c r="D46" s="43" t="s">
        <v>188</v>
      </c>
      <c r="E46" s="44"/>
    </row>
    <row r="47" spans="1:5" ht="15" customHeight="1" x14ac:dyDescent="0.2">
      <c r="A47" s="1"/>
      <c r="B47" s="11" t="s">
        <v>189</v>
      </c>
      <c r="C47" s="49">
        <f>currentYear_after_tax_operating_income/startYear_total_capitalization</f>
        <v>0.2954500966458215</v>
      </c>
      <c r="D47" s="43" t="s">
        <v>190</v>
      </c>
      <c r="E47" s="44"/>
    </row>
    <row r="48" spans="1:5" ht="15" customHeight="1" x14ac:dyDescent="0.2">
      <c r="A48" s="1"/>
      <c r="B48" s="11" t="s">
        <v>191</v>
      </c>
      <c r="C48" s="49">
        <f>'Income Statement'!C15/startYear_equity</f>
        <v>0.59713890170742967</v>
      </c>
      <c r="D48" s="43" t="s">
        <v>192</v>
      </c>
      <c r="E48" s="44"/>
    </row>
    <row r="49" spans="1:5" ht="15" customHeight="1" x14ac:dyDescent="0.2">
      <c r="A49" s="1"/>
      <c r="B49" s="11" t="s">
        <v>193</v>
      </c>
      <c r="C49" s="49">
        <f>currentYear_after_tax_operating_income/avg_total_assets</f>
        <v>0.14828141976717643</v>
      </c>
      <c r="D49" s="43" t="s">
        <v>194</v>
      </c>
      <c r="E49" s="44"/>
    </row>
    <row r="50" spans="1:5" ht="15" customHeight="1" x14ac:dyDescent="0.2">
      <c r="A50" s="1"/>
      <c r="B50" s="11" t="s">
        <v>195</v>
      </c>
      <c r="C50" s="49">
        <f>currentYear_after_tax_operating_income/avg_total_capitalization</f>
        <v>0.28611358731556924</v>
      </c>
      <c r="D50" s="43" t="s">
        <v>196</v>
      </c>
      <c r="E50" s="44"/>
    </row>
    <row r="51" spans="1:5" ht="15" customHeight="1" x14ac:dyDescent="0.2">
      <c r="A51" s="1"/>
      <c r="B51" s="11" t="s">
        <v>197</v>
      </c>
      <c r="C51" s="49">
        <f>'Income Statement'!C15/avg_equity</f>
        <v>0.59727671359335333</v>
      </c>
      <c r="D51" s="43" t="s">
        <v>198</v>
      </c>
      <c r="E51" s="44"/>
    </row>
    <row r="52" spans="1:5" ht="6" customHeight="1" x14ac:dyDescent="0.2">
      <c r="A52" s="1"/>
      <c r="B52" s="1"/>
      <c r="C52" s="1"/>
      <c r="D52" s="1"/>
      <c r="E52" s="1"/>
    </row>
    <row r="53" spans="1:5" ht="15.75" customHeight="1" x14ac:dyDescent="0.2">
      <c r="A53" s="1"/>
      <c r="B53" s="7" t="s">
        <v>199</v>
      </c>
      <c r="C53" s="8"/>
      <c r="D53" s="8"/>
      <c r="E53" s="8"/>
    </row>
    <row r="54" spans="1:5" ht="15" customHeight="1" x14ac:dyDescent="0.2">
      <c r="A54" s="1"/>
      <c r="B54" s="11" t="s">
        <v>200</v>
      </c>
      <c r="C54" s="50">
        <f>'Income Statement'!C4/startYear_total_assets</f>
        <v>0.74087749782797563</v>
      </c>
      <c r="D54" s="43" t="s">
        <v>201</v>
      </c>
      <c r="E54" s="44" t="s">
        <v>202</v>
      </c>
    </row>
    <row r="55" spans="1:5" ht="15" customHeight="1" x14ac:dyDescent="0.2">
      <c r="A55" s="1"/>
      <c r="B55" s="11" t="s">
        <v>203</v>
      </c>
      <c r="C55" s="50">
        <f>'Income Statement'!C4/startYear_receivables</f>
        <v>6.9612244897959181</v>
      </c>
      <c r="D55" s="43" t="s">
        <v>204</v>
      </c>
      <c r="E55" s="44"/>
    </row>
    <row r="56" spans="1:5" ht="15" customHeight="1" x14ac:dyDescent="0.2">
      <c r="A56" s="1"/>
      <c r="B56" s="11" t="s">
        <v>205</v>
      </c>
      <c r="C56" s="51">
        <f>startYear_receivables/currentYear_daily_sales_average</f>
        <v>52.433304016417473</v>
      </c>
      <c r="D56" s="43" t="s">
        <v>206</v>
      </c>
      <c r="E56" s="44"/>
    </row>
    <row r="57" spans="1:5" ht="15" customHeight="1" x14ac:dyDescent="0.2">
      <c r="A57" s="1"/>
      <c r="B57" s="11" t="s">
        <v>207</v>
      </c>
      <c r="C57" s="50">
        <f>'Income Statement'!C5/startYear_inventory</f>
        <v>2.6105644431029278</v>
      </c>
      <c r="D57" s="43" t="s">
        <v>208</v>
      </c>
      <c r="E57" s="44"/>
    </row>
    <row r="58" spans="1:5" ht="15" customHeight="1" x14ac:dyDescent="0.2">
      <c r="A58" s="1"/>
      <c r="B58" s="11" t="s">
        <v>209</v>
      </c>
      <c r="C58" s="51">
        <f>startYear_inventory/currentYear_cost_goods_sold_daily</f>
        <v>139.81650633613913</v>
      </c>
      <c r="D58" s="43" t="s">
        <v>210</v>
      </c>
      <c r="E58" s="44"/>
    </row>
    <row r="59" spans="1:5" ht="15" customHeight="1" x14ac:dyDescent="0.2">
      <c r="A59" s="1"/>
      <c r="B59" s="11" t="s">
        <v>211</v>
      </c>
      <c r="C59" s="49">
        <f>'Income Statement'!C15/'Income Statement'!C4</f>
        <v>0.17969726426885155</v>
      </c>
      <c r="D59" s="43" t="s">
        <v>212</v>
      </c>
      <c r="E59" s="44"/>
    </row>
    <row r="60" spans="1:5" ht="15" customHeight="1" x14ac:dyDescent="0.2">
      <c r="A60" s="1"/>
      <c r="B60" s="11" t="s">
        <v>213</v>
      </c>
      <c r="C60" s="49">
        <f>currentYear_after_tax_operating_income/'Income Statement'!C4</f>
        <v>0.2004724343841133</v>
      </c>
      <c r="D60" s="43" t="s">
        <v>214</v>
      </c>
      <c r="E60" s="44" t="s">
        <v>215</v>
      </c>
    </row>
    <row r="61" spans="1:5" ht="6" customHeight="1" x14ac:dyDescent="0.2">
      <c r="A61" s="1"/>
      <c r="B61" s="1"/>
      <c r="C61" s="1"/>
      <c r="D61" s="1"/>
      <c r="E61" s="1"/>
    </row>
    <row r="62" spans="1:5" ht="15.75" customHeight="1" x14ac:dyDescent="0.2">
      <c r="A62" s="1"/>
      <c r="B62" s="7" t="s">
        <v>216</v>
      </c>
      <c r="C62" s="8"/>
      <c r="D62" s="8"/>
      <c r="E62" s="8"/>
    </row>
    <row r="63" spans="1:5" ht="15" customHeight="1" x14ac:dyDescent="0.2">
      <c r="A63" s="1"/>
      <c r="B63" s="11" t="s">
        <v>217</v>
      </c>
      <c r="C63" s="49">
        <f>currentYear_debt_long_term/(currentYear_debt_long_term+currentYear_equity)</f>
        <v>0.58386167146974066</v>
      </c>
      <c r="D63" s="43" t="s">
        <v>218</v>
      </c>
      <c r="E63" s="44"/>
    </row>
    <row r="64" spans="1:5" ht="15" customHeight="1" x14ac:dyDescent="0.2">
      <c r="A64" s="1"/>
      <c r="B64" s="11" t="s">
        <v>219</v>
      </c>
      <c r="C64" s="49">
        <f>currentYear_debt_long_term/currentYear_equity</f>
        <v>1.4030470914127424</v>
      </c>
      <c r="D64" s="43" t="s">
        <v>220</v>
      </c>
      <c r="E64" s="44"/>
    </row>
    <row r="65" spans="1:5" ht="15" customHeight="1" x14ac:dyDescent="0.2">
      <c r="A65" s="1"/>
      <c r="B65" s="11" t="s">
        <v>221</v>
      </c>
      <c r="C65" s="49">
        <f>currentYear_liabilities_total/currentYear_assets_total</f>
        <v>0.77788159154095071</v>
      </c>
      <c r="D65" s="43" t="s">
        <v>222</v>
      </c>
      <c r="E65" s="44"/>
    </row>
    <row r="66" spans="1:5" ht="15" customHeight="1" x14ac:dyDescent="0.2">
      <c r="A66" s="1"/>
      <c r="B66" s="11" t="s">
        <v>223</v>
      </c>
      <c r="C66" s="50">
        <f>'Income Statement'!C8/'Income Statement'!C11</f>
        <v>8.2819614711033278</v>
      </c>
      <c r="D66" s="43" t="s">
        <v>224</v>
      </c>
      <c r="E66" s="44"/>
    </row>
    <row r="67" spans="1:5" ht="15" customHeight="1" x14ac:dyDescent="0.2">
      <c r="A67" s="1"/>
      <c r="B67" s="11" t="s">
        <v>225</v>
      </c>
      <c r="C67" s="50">
        <f>('Income Statement'!C8+'Income Statement'!C7)/'Income Statement'!C11</f>
        <v>9.1068301225919441</v>
      </c>
      <c r="D67" s="43" t="s">
        <v>226</v>
      </c>
      <c r="E67" s="44"/>
    </row>
    <row r="68" spans="1:5" ht="15" customHeight="1" x14ac:dyDescent="0.2">
      <c r="A68" s="1"/>
      <c r="B68" s="11" t="s">
        <v>227</v>
      </c>
      <c r="C68" s="50">
        <f>'Income Statement'!C15/currentYear_after_tax_operating_income</f>
        <v>0.89636894379475784</v>
      </c>
      <c r="D68" s="43" t="s">
        <v>228</v>
      </c>
      <c r="E68" s="44" t="s">
        <v>229</v>
      </c>
    </row>
    <row r="69" spans="1:5" ht="15" customHeight="1" x14ac:dyDescent="0.2">
      <c r="A69" s="1"/>
      <c r="B69" s="11" t="s">
        <v>230</v>
      </c>
      <c r="C69" s="50">
        <f>currentYear_assets_total/currentYear_equity</f>
        <v>4.5021032112444859</v>
      </c>
      <c r="D69" s="43" t="s">
        <v>231</v>
      </c>
      <c r="E69" s="44" t="s">
        <v>232</v>
      </c>
    </row>
    <row r="70" spans="1:5" ht="6" customHeight="1" x14ac:dyDescent="0.2">
      <c r="A70" s="1"/>
      <c r="B70" s="1"/>
      <c r="C70" s="1"/>
      <c r="D70" s="1"/>
      <c r="E70" s="1"/>
    </row>
    <row r="71" spans="1:5" ht="15.75" customHeight="1" x14ac:dyDescent="0.2">
      <c r="A71" s="1"/>
      <c r="B71" s="7" t="s">
        <v>233</v>
      </c>
      <c r="C71" s="8"/>
      <c r="D71" s="8"/>
      <c r="E71" s="8"/>
    </row>
    <row r="72" spans="1:5" ht="15" customHeight="1" x14ac:dyDescent="0.2">
      <c r="A72" s="1"/>
      <c r="B72" s="11" t="s">
        <v>234</v>
      </c>
      <c r="C72" s="49">
        <f>currentYear_working_capital_net/currentYear_assets_total</f>
        <v>0.15279613508955836</v>
      </c>
      <c r="D72" s="43" t="s">
        <v>235</v>
      </c>
      <c r="E72" s="44"/>
    </row>
    <row r="73" spans="1:5" ht="15" customHeight="1" x14ac:dyDescent="0.2">
      <c r="A73" s="1"/>
      <c r="B73" s="11" t="s">
        <v>236</v>
      </c>
      <c r="C73" s="50">
        <f>currentYear_assets_current/currentYear_liabilities_current</f>
        <v>1.4155304908279622</v>
      </c>
      <c r="D73" s="43" t="s">
        <v>237</v>
      </c>
      <c r="E73" s="44"/>
    </row>
    <row r="74" spans="1:5" ht="15" customHeight="1" x14ac:dyDescent="0.2">
      <c r="A74" s="1"/>
      <c r="B74" s="11" t="s">
        <v>238</v>
      </c>
      <c r="C74" s="50">
        <f>(currentYear_cash_marketable_securities+'Balance Sheet'!C6)/currentYear_liabilities_current</f>
        <v>0.50108453148239962</v>
      </c>
      <c r="D74" s="43" t="s">
        <v>239</v>
      </c>
      <c r="E74" s="44"/>
    </row>
    <row r="75" spans="1:5" ht="15" customHeight="1" x14ac:dyDescent="0.2">
      <c r="A75" s="1"/>
      <c r="B75" s="11" t="s">
        <v>240</v>
      </c>
      <c r="C75" s="50">
        <f>currentYear_cash_marketable_securities/currentYear_liabilities_current</f>
        <v>0.21346678235002478</v>
      </c>
      <c r="D75" s="43" t="s">
        <v>241</v>
      </c>
      <c r="E75" s="44"/>
    </row>
    <row r="76" spans="1:5" ht="6" customHeight="1" x14ac:dyDescent="0.2">
      <c r="A76" s="1"/>
      <c r="B76" s="1"/>
      <c r="C76" s="1"/>
      <c r="D76" s="1"/>
      <c r="E76" s="1"/>
    </row>
    <row r="77" spans="1:5" ht="15.75" customHeight="1" x14ac:dyDescent="0.2">
      <c r="A77" s="1"/>
      <c r="B77" s="7" t="s">
        <v>242</v>
      </c>
      <c r="C77" s="8"/>
      <c r="D77" s="8"/>
      <c r="E77" s="8"/>
    </row>
    <row r="78" spans="1:5" ht="15" customHeight="1" x14ac:dyDescent="0.2">
      <c r="A78" s="1"/>
      <c r="B78" s="11" t="s">
        <v>243</v>
      </c>
      <c r="C78" s="50">
        <f>C54*C60</f>
        <v>0.14852551556998489</v>
      </c>
      <c r="D78" s="43" t="s">
        <v>244</v>
      </c>
      <c r="E78" s="44"/>
    </row>
    <row r="79" spans="1:5" ht="15" customHeight="1" x14ac:dyDescent="0.2">
      <c r="A79" s="1"/>
      <c r="B79" s="52" t="s">
        <v>245</v>
      </c>
      <c r="C79" s="50">
        <f>C54</f>
        <v>0.74087749782797563</v>
      </c>
      <c r="D79" s="43" t="s">
        <v>246</v>
      </c>
      <c r="E79" s="44" t="s">
        <v>202</v>
      </c>
    </row>
    <row r="80" spans="1:5" ht="15" customHeight="1" x14ac:dyDescent="0.2">
      <c r="A80" s="1"/>
      <c r="B80" s="52" t="s">
        <v>247</v>
      </c>
      <c r="C80" s="50">
        <f>C60</f>
        <v>0.2004724343841133</v>
      </c>
      <c r="D80" s="43" t="s">
        <v>246</v>
      </c>
      <c r="E80" s="44" t="s">
        <v>215</v>
      </c>
    </row>
    <row r="81" spans="1:5" ht="6" customHeight="1" x14ac:dyDescent="0.2">
      <c r="A81" s="1"/>
      <c r="B81" s="1"/>
      <c r="C81" s="1"/>
      <c r="D81" s="1"/>
      <c r="E81" s="1"/>
    </row>
    <row r="82" spans="1:5" ht="15" customHeight="1" x14ac:dyDescent="0.2">
      <c r="A82" s="1"/>
      <c r="B82" s="11" t="s">
        <v>248</v>
      </c>
      <c r="C82" s="50">
        <f>C69*C54*C60*C68</f>
        <v>0.59938147604089442</v>
      </c>
      <c r="D82" s="43" t="s">
        <v>249</v>
      </c>
      <c r="E82" s="44"/>
    </row>
    <row r="83" spans="1:5" ht="15" customHeight="1" x14ac:dyDescent="0.2">
      <c r="A83" s="1"/>
      <c r="B83" s="52" t="s">
        <v>250</v>
      </c>
      <c r="C83" s="50">
        <f>C69</f>
        <v>4.5021032112444859</v>
      </c>
      <c r="D83" s="43" t="s">
        <v>251</v>
      </c>
      <c r="E83" s="44" t="s">
        <v>232</v>
      </c>
    </row>
    <row r="84" spans="1:5" ht="15" customHeight="1" x14ac:dyDescent="0.2">
      <c r="A84" s="1"/>
      <c r="B84" s="52" t="s">
        <v>245</v>
      </c>
      <c r="C84" s="50">
        <f>C54</f>
        <v>0.74087749782797563</v>
      </c>
      <c r="D84" s="43" t="s">
        <v>246</v>
      </c>
      <c r="E84" s="44" t="s">
        <v>202</v>
      </c>
    </row>
    <row r="85" spans="1:5" ht="15" customHeight="1" x14ac:dyDescent="0.2">
      <c r="A85" s="1"/>
      <c r="B85" s="52" t="s">
        <v>247</v>
      </c>
      <c r="C85" s="50">
        <f>C60</f>
        <v>0.2004724343841133</v>
      </c>
      <c r="D85" s="43" t="s">
        <v>246</v>
      </c>
      <c r="E85" s="44" t="s">
        <v>215</v>
      </c>
    </row>
    <row r="86" spans="1:5" ht="15" customHeight="1" x14ac:dyDescent="0.2">
      <c r="A86" s="1"/>
      <c r="B86" s="52" t="s">
        <v>252</v>
      </c>
      <c r="C86" s="50">
        <f>C68</f>
        <v>0.89636894379475784</v>
      </c>
      <c r="D86" s="43" t="s">
        <v>251</v>
      </c>
      <c r="E86" s="44" t="s">
        <v>229</v>
      </c>
    </row>
    <row r="87" spans="1:5" ht="6" customHeight="1" x14ac:dyDescent="0.2">
      <c r="A87" s="1"/>
      <c r="B87" s="1"/>
      <c r="C87" s="1"/>
      <c r="D87" s="1"/>
      <c r="E87" s="1"/>
    </row>
    <row r="88" spans="1:5" ht="16.5" customHeight="1" x14ac:dyDescent="0.2">
      <c r="A88" s="1"/>
      <c r="B88" s="1"/>
      <c r="C88" s="1"/>
      <c r="D88" s="1"/>
      <c r="E88" s="1"/>
    </row>
    <row r="89" spans="1:5" ht="13.5" customHeight="1" x14ac:dyDescent="0.2">
      <c r="A89" s="1"/>
      <c r="B89" s="53" t="s">
        <v>253</v>
      </c>
      <c r="C89" s="54" t="s">
        <v>254</v>
      </c>
      <c r="D89" s="55" t="s">
        <v>255</v>
      </c>
      <c r="E89" s="56" t="s">
        <v>256</v>
      </c>
    </row>
    <row r="90" spans="1:5" ht="15" customHeight="1" x14ac:dyDescent="0.2">
      <c r="A90" s="1"/>
      <c r="B90" s="33" t="s">
        <v>45</v>
      </c>
      <c r="C90" s="1"/>
      <c r="D90" s="1"/>
      <c r="E90" s="1"/>
    </row>
  </sheetData>
  <dataValidations count="1">
    <dataValidation type="decimal" errorTitle="Invalid %" error="Enter a value between 0% and 100%" sqref="C7: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"/>
  <sheetViews>
    <sheetView showGridLines="0"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2" sqref="K22"/>
    </sheetView>
  </sheetViews>
  <sheetFormatPr baseColWidth="10" defaultColWidth="8.6640625" defaultRowHeight="15" x14ac:dyDescent="0.2"/>
  <cols>
    <col min="1" max="1" width="2" customWidth="1"/>
    <col min="2" max="2" width="60" customWidth="1"/>
    <col min="3" max="3" width="55" customWidth="1"/>
  </cols>
  <sheetData>
    <row r="1" spans="1:3" ht="21.75" customHeight="1" x14ac:dyDescent="0.2">
      <c r="A1" s="1"/>
      <c r="B1" s="57" t="s">
        <v>257</v>
      </c>
      <c r="C1" s="1"/>
    </row>
    <row r="2" spans="1:3" ht="16.5" customHeight="1" x14ac:dyDescent="0.2">
      <c r="A2" s="1"/>
      <c r="B2" s="1"/>
      <c r="C2" s="1"/>
    </row>
    <row r="3" spans="1:3" ht="15" customHeight="1" x14ac:dyDescent="0.2">
      <c r="A3" s="1"/>
      <c r="B3" s="58" t="s">
        <v>258</v>
      </c>
      <c r="C3" s="59" t="s">
        <v>259</v>
      </c>
    </row>
    <row r="4" spans="1:3" ht="15" customHeight="1" x14ac:dyDescent="0.2">
      <c r="A4" s="1"/>
      <c r="B4" s="58" t="s">
        <v>260</v>
      </c>
      <c r="C4" s="59" t="s">
        <v>261</v>
      </c>
    </row>
    <row r="5" spans="1:3" x14ac:dyDescent="0.2">
      <c r="A5" s="1"/>
      <c r="B5" s="58" t="s">
        <v>262</v>
      </c>
      <c r="C5" s="59" t="s">
        <v>263</v>
      </c>
    </row>
    <row r="6" spans="1:3" ht="15" customHeight="1" x14ac:dyDescent="0.2">
      <c r="A6" s="1"/>
      <c r="B6" s="58" t="s">
        <v>264</v>
      </c>
      <c r="C6" s="59" t="s">
        <v>2</v>
      </c>
    </row>
    <row r="7" spans="1:3" ht="15" customHeight="1" x14ac:dyDescent="0.2">
      <c r="A7" s="1"/>
      <c r="B7" s="58" t="s">
        <v>265</v>
      </c>
      <c r="C7" s="59" t="s">
        <v>3</v>
      </c>
    </row>
    <row r="8" spans="1:3" ht="15" customHeight="1" x14ac:dyDescent="0.2">
      <c r="A8" s="1"/>
      <c r="B8" s="58" t="s">
        <v>266</v>
      </c>
      <c r="C8" s="59" t="s">
        <v>267</v>
      </c>
    </row>
    <row r="9" spans="1:3" ht="15" customHeight="1" x14ac:dyDescent="0.2">
      <c r="A9" s="1"/>
      <c r="B9" s="58" t="s">
        <v>268</v>
      </c>
      <c r="C9" s="59" t="s">
        <v>269</v>
      </c>
    </row>
    <row r="10" spans="1:3" x14ac:dyDescent="0.2">
      <c r="A10" s="1"/>
      <c r="B10" s="58" t="s">
        <v>270</v>
      </c>
      <c r="C10" s="59" t="s">
        <v>283</v>
      </c>
    </row>
    <row r="11" spans="1:3" x14ac:dyDescent="0.2">
      <c r="A11" s="1"/>
      <c r="B11" s="58" t="s">
        <v>271</v>
      </c>
      <c r="C11" s="59" t="s">
        <v>282</v>
      </c>
    </row>
    <row r="12" spans="1:3" x14ac:dyDescent="0.2">
      <c r="A12" s="1"/>
      <c r="B12" s="58" t="s">
        <v>272</v>
      </c>
      <c r="C12" s="59" t="s">
        <v>273</v>
      </c>
    </row>
    <row r="13" spans="1:3" x14ac:dyDescent="0.2">
      <c r="A13" s="1"/>
      <c r="B13" s="58" t="s">
        <v>274</v>
      </c>
      <c r="C13" s="59" t="s">
        <v>275</v>
      </c>
    </row>
    <row r="14" spans="1:3" x14ac:dyDescent="0.2">
      <c r="A14" s="1"/>
      <c r="B14" s="1"/>
      <c r="C14" s="59"/>
    </row>
    <row r="15" spans="1:3" x14ac:dyDescent="0.2">
      <c r="A15" s="1"/>
      <c r="B15" t="s">
        <v>277</v>
      </c>
    </row>
    <row r="16" spans="1:3" x14ac:dyDescent="0.2">
      <c r="A16" s="1"/>
      <c r="B16" t="s">
        <v>278</v>
      </c>
      <c r="C16" s="60"/>
    </row>
    <row r="17" spans="1:13" x14ac:dyDescent="0.2">
      <c r="A17" s="1"/>
      <c r="B17" t="s">
        <v>279</v>
      </c>
      <c r="C17" s="61"/>
    </row>
    <row r="18" spans="1:13" x14ac:dyDescent="0.2">
      <c r="A18" s="1"/>
      <c r="B18" t="s">
        <v>280</v>
      </c>
      <c r="C18" s="62"/>
    </row>
    <row r="19" spans="1:13" x14ac:dyDescent="0.2">
      <c r="A19" s="1"/>
      <c r="B19" t="s">
        <v>281</v>
      </c>
      <c r="C19" s="63"/>
    </row>
    <row r="20" spans="1:13" x14ac:dyDescent="0.2">
      <c r="A20" s="1"/>
      <c r="C20" s="64"/>
    </row>
    <row r="21" spans="1:13" x14ac:dyDescent="0.2">
      <c r="A21" s="1"/>
      <c r="B21" s="58" t="s">
        <v>276</v>
      </c>
      <c r="C21" s="59" t="s">
        <v>299</v>
      </c>
    </row>
    <row r="22" spans="1:13" x14ac:dyDescent="0.2">
      <c r="C22" s="65" t="s">
        <v>284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</row>
    <row r="23" spans="1:13" x14ac:dyDescent="0.2">
      <c r="C23" s="65" t="s">
        <v>285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</row>
    <row r="24" spans="1:13" x14ac:dyDescent="0.2">
      <c r="C24" s="65" t="s">
        <v>286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</row>
    <row r="25" spans="1:13" x14ac:dyDescent="0.2">
      <c r="C25" s="65" t="s">
        <v>287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</row>
    <row r="26" spans="1:13" x14ac:dyDescent="0.2">
      <c r="C26" s="65" t="s">
        <v>288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</row>
    <row r="27" spans="1:13" x14ac:dyDescent="0.2">
      <c r="C27" s="65" t="s">
        <v>289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</row>
    <row r="28" spans="1:13" x14ac:dyDescent="0.2">
      <c r="C28" s="65" t="s">
        <v>290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</row>
    <row r="29" spans="1:13" x14ac:dyDescent="0.2">
      <c r="C29" s="65" t="s">
        <v>291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</row>
    <row r="30" spans="1:13" x14ac:dyDescent="0.2">
      <c r="C30" s="67" t="s">
        <v>292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</row>
    <row r="31" spans="1:13" x14ac:dyDescent="0.2">
      <c r="C31" s="65" t="s">
        <v>293</v>
      </c>
      <c r="D31" s="66"/>
      <c r="E31" s="66"/>
      <c r="F31" s="66"/>
      <c r="G31" s="66"/>
      <c r="H31" s="66"/>
      <c r="I31" s="66"/>
    </row>
    <row r="32" spans="1:13" x14ac:dyDescent="0.2">
      <c r="C32" s="65" t="s">
        <v>294</v>
      </c>
      <c r="D32" s="66"/>
      <c r="E32" s="66"/>
      <c r="F32" s="66"/>
      <c r="G32" s="66"/>
      <c r="H32" s="66"/>
      <c r="I32" s="66"/>
    </row>
    <row r="33" spans="3:9" x14ac:dyDescent="0.2">
      <c r="C33" s="65" t="s">
        <v>295</v>
      </c>
      <c r="D33" s="66"/>
      <c r="E33" s="66"/>
      <c r="F33" s="66"/>
      <c r="G33" s="66"/>
      <c r="H33" s="66"/>
      <c r="I33" s="66"/>
    </row>
    <row r="34" spans="3:9" x14ac:dyDescent="0.2">
      <c r="C34" s="65" t="s">
        <v>296</v>
      </c>
      <c r="D34" s="66"/>
      <c r="E34" s="66"/>
      <c r="F34" s="66"/>
      <c r="G34" s="66"/>
      <c r="H34" s="66"/>
      <c r="I34" s="66"/>
    </row>
    <row r="35" spans="3:9" x14ac:dyDescent="0.2">
      <c r="C35" s="65" t="s">
        <v>297</v>
      </c>
      <c r="D35" s="66"/>
      <c r="E35" s="66"/>
      <c r="F35" s="66"/>
      <c r="G35" s="66"/>
      <c r="H35" s="66"/>
      <c r="I35" s="66"/>
    </row>
    <row r="36" spans="3:9" x14ac:dyDescent="0.2">
      <c r="C36" s="67" t="s">
        <v>298</v>
      </c>
      <c r="D36" s="66"/>
      <c r="E36" s="66"/>
      <c r="F36" s="66"/>
      <c r="G36" s="66"/>
      <c r="H36" s="66"/>
      <c r="I36" s="6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38</vt:i4>
      </vt:variant>
    </vt:vector>
  </HeadingPairs>
  <TitlesOfParts>
    <vt:vector size="4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INC_cost_goods_sold</vt:lpstr>
      <vt:lpstr>INC_depreciation</vt:lpstr>
      <vt:lpstr>INC_ebit</vt:lpstr>
      <vt:lpstr>INC_interest_expense</vt:lpstr>
      <vt:lpstr>INC_net</vt:lpstr>
      <vt:lpstr>INC_sales</vt:lpstr>
      <vt:lpstr>market_capitalization</vt:lpstr>
      <vt:lpstr>RATIO_asset_turnover</vt:lpstr>
      <vt:lpstr>RATIO_debt_burden</vt:lpstr>
      <vt:lpstr>RATIO_leverage</vt:lpstr>
      <vt:lpstr>RATIO_operating_profit_margin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Henry Van Brussel</cp:lastModifiedBy>
  <cp:revision>0</cp:revision>
  <dcterms:created xsi:type="dcterms:W3CDTF">2026-03-25T17:31:22Z</dcterms:created>
  <dcterms:modified xsi:type="dcterms:W3CDTF">2026-04-09T01:19:33Z</dcterms:modified>
  <dc:language>en-US</dc:language>
</cp:coreProperties>
</file>